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ami Stock" sheetId="1" state="visible" r:id="rId3"/>
    <sheet name="Inbound POs" sheetId="2" state="visible" r:id="rId4"/>
    <sheet name="Shipments by Wee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<sst xmlns="http://schemas.openxmlformats.org/spreadsheetml/2006/main" count="336" uniqueCount="112">
  <si>
    <t xml:space="preserve">BodyJ4You — Miami Stock</t>
  </si>
  <si>
    <t xml:space="preserve">May 4, 2026  |  Reorder = (Vel × Target) − OH − IB − Available Generic (keep 14d buffer)  |  FBA excluded</t>
  </si>
  <si>
    <t xml:space="preserve">component</t>
  </si>
  <si>
    <t xml:space="preserve">on_hand</t>
  </si>
  <si>
    <t xml:space="preserve">inbound_miami</t>
  </si>
  <si>
    <t xml:space="preserve">daily_velocity</t>
  </si>
  <si>
    <t xml:space="preserve">target_days</t>
  </si>
  <si>
    <t xml:space="preserve">days_covered</t>
  </si>
  <si>
    <t xml:space="preserve">reorder_qty</t>
  </si>
  <si>
    <t xml:space="preserve">unit_cost</t>
  </si>
  <si>
    <t xml:space="preserve">reorder_cost</t>
  </si>
  <si>
    <t xml:space="preserve">HS0002 Bottle</t>
  </si>
  <si>
    <t xml:space="preserve">HS0002 Box</t>
  </si>
  <si>
    <t xml:space="preserve">PB-10 Bottle</t>
  </si>
  <si>
    <t xml:space="preserve">PB-10 Box</t>
  </si>
  <si>
    <t xml:space="preserve">Jojoba Oil Bottle 0.17oz</t>
  </si>
  <si>
    <t xml:space="preserve">Jojoba Oil Bottle 1oz</t>
  </si>
  <si>
    <t xml:space="preserve">Jojoba Oil Box 1oz</t>
  </si>
  <si>
    <t xml:space="preserve">Jojoba Oil Bottle 4oz</t>
  </si>
  <si>
    <t xml:space="preserve">Jojoba Oil Box 4oz</t>
  </si>
  <si>
    <t xml:space="preserve">Rosehip Oil Bottle 1oz</t>
  </si>
  <si>
    <t xml:space="preserve">Rosehip Oil Box 1oz</t>
  </si>
  <si>
    <t xml:space="preserve">Rosehip Oil Bottle 4oz</t>
  </si>
  <si>
    <t xml:space="preserve">Rosehip Oil Box 4oz</t>
  </si>
  <si>
    <t xml:space="preserve">Castor Oil Bottle 1oz</t>
  </si>
  <si>
    <t xml:space="preserve">Castor Oil Box 1oz</t>
  </si>
  <si>
    <t xml:space="preserve">Castor Oil Bottle 4oz</t>
  </si>
  <si>
    <t xml:space="preserve">Castor Oil Box 4oz</t>
  </si>
  <si>
    <t xml:space="preserve">Castor Oil Box 2oz</t>
  </si>
  <si>
    <t xml:space="preserve">Generic Oil Bottle 1oz</t>
  </si>
  <si>
    <t xml:space="preserve">Generic Oil Bottle 2oz</t>
  </si>
  <si>
    <t xml:space="preserve">Generic Oil Bottle 4oz</t>
  </si>
  <si>
    <t xml:space="preserve">Generic Oil Box 2oz</t>
  </si>
  <si>
    <t xml:space="preserve">Generic Oil Box 4oz</t>
  </si>
  <si>
    <t xml:space="preserve">Tea Tree Oil Box 2oz</t>
  </si>
  <si>
    <t xml:space="preserve">Generic Oil Bottle 16oz with Pump</t>
  </si>
  <si>
    <t xml:space="preserve">Pump for 16oz Bottle</t>
  </si>
  <si>
    <t xml:space="preserve">Metal Tin 0.35oz</t>
  </si>
  <si>
    <t xml:space="preserve">Lavender Roller Bottle 10ml</t>
  </si>
  <si>
    <t xml:space="preserve">Lavender Roller Box 10ml</t>
  </si>
  <si>
    <t xml:space="preserve">Rosemary Roller Bottle 10ml</t>
  </si>
  <si>
    <t xml:space="preserve">Rosemary Roller Box 10ml</t>
  </si>
  <si>
    <t xml:space="preserve">Tea Tree Roller Bottle 10ml</t>
  </si>
  <si>
    <t xml:space="preserve">Tea Tree Roller Box 10ml</t>
  </si>
  <si>
    <t xml:space="preserve">Frankincense Roller Bottle 10ml</t>
  </si>
  <si>
    <t xml:space="preserve">Frankincense Roller Box 10ml</t>
  </si>
  <si>
    <t xml:space="preserve">Frank+Castor Roller Bottle 10ml</t>
  </si>
  <si>
    <t xml:space="preserve">Frank+Castor Roller Box 10ml</t>
  </si>
  <si>
    <t xml:space="preserve">Eucalyptus Roller Bottle 10ml</t>
  </si>
  <si>
    <t xml:space="preserve">Eucalyptus Roller Box 10ml</t>
  </si>
  <si>
    <t xml:space="preserve">Lemon Roller Bottle 10ml</t>
  </si>
  <si>
    <t xml:space="preserve">Lemon Roller Box 10ml</t>
  </si>
  <si>
    <t xml:space="preserve">Peppermint Roller Bottle 10ml</t>
  </si>
  <si>
    <t xml:space="preserve">Peppermint Roller Box 10ml</t>
  </si>
  <si>
    <t xml:space="preserve">Roller Bottle 1.7oz</t>
  </si>
  <si>
    <t xml:space="preserve">Stone Roller Rose Quartz 1.7oz</t>
  </si>
  <si>
    <t xml:space="preserve">Stone Roller Tiger Eye 1.7oz</t>
  </si>
  <si>
    <t xml:space="preserve">Beard Oil Box 1.7oz</t>
  </si>
  <si>
    <t xml:space="preserve">Lash Brush</t>
  </si>
  <si>
    <t xml:space="preserve">Mascara Tubes</t>
  </si>
  <si>
    <t xml:space="preserve">Derma Razor</t>
  </si>
  <si>
    <t xml:space="preserve">Piercing Hole Floss Sticks 60pc</t>
  </si>
  <si>
    <t xml:space="preserve">Castor Oil Patch Box 4oz</t>
  </si>
  <si>
    <t xml:space="preserve">32PC Patch Set</t>
  </si>
  <si>
    <t xml:space="preserve">Roller Set 3PC Box</t>
  </si>
  <si>
    <t xml:space="preserve">Roller Set 6PC Box</t>
  </si>
  <si>
    <t xml:space="preserve">TOTAL REORDER COST</t>
  </si>
  <si>
    <t xml:space="preserve">BodyJ4You — Inbound Purchase Orders</t>
  </si>
  <si>
    <t xml:space="preserve">All POs from Bony — received, in transit, and on order  ·  May 4, 2026</t>
  </si>
  <si>
    <t xml:space="preserve">PO Name</t>
  </si>
  <si>
    <t xml:space="preserve">Shipped</t>
  </si>
  <si>
    <t xml:space="preserve">Arrived / ETA</t>
  </si>
  <si>
    <t xml:space="preserve">Freight</t>
  </si>
  <si>
    <t xml:space="preserve">Component</t>
  </si>
  <si>
    <t xml:space="preserve">Qty</t>
  </si>
  <si>
    <t xml:space="preserve">Unit Cost</t>
  </si>
  <si>
    <t xml:space="preserve">Line Total</t>
  </si>
  <si>
    <t xml:space="preserve">Apr 24 NEW Ocean</t>
  </si>
  <si>
    <t xml:space="preserve">Apr 24, 2026</t>
  </si>
  <si>
    <t xml:space="preserve">Not yet shipped</t>
  </si>
  <si>
    <t xml:space="preserve">Ocean</t>
  </si>
  <si>
    <t xml:space="preserve">● ON ORDER (China)</t>
  </si>
  <si>
    <t xml:space="preserve">Apr 22 Miami (Air)</t>
  </si>
  <si>
    <t xml:space="preserve">Apr 22, 2026</t>
  </si>
  <si>
    <t xml:space="preserve">~Apr 28, 2026</t>
  </si>
  <si>
    <t xml:space="preserve">Air</t>
  </si>
  <si>
    <t xml:space="preserve">● INBOUND</t>
  </si>
  <si>
    <t xml:space="preserve">Apr 20 Miami (Air)</t>
  </si>
  <si>
    <t xml:space="preserve">Apr 20, 2026</t>
  </si>
  <si>
    <t xml:space="preserve">~Apr 27, 2026</t>
  </si>
  <si>
    <t xml:space="preserve">Apr 4 Ocean</t>
  </si>
  <si>
    <t xml:space="preserve">Apr 4, 2026</t>
  </si>
  <si>
    <t xml:space="preserve">~May 4, 2026</t>
  </si>
  <si>
    <t xml:space="preserve">Mar 26 Ocean</t>
  </si>
  <si>
    <t xml:space="preserve">Mar 26, 2026</t>
  </si>
  <si>
    <t xml:space="preserve">Apr 25, 2026</t>
  </si>
  <si>
    <t xml:space="preserve">● RECEIVED</t>
  </si>
  <si>
    <t xml:space="preserve">Mar 21 Ocean</t>
  </si>
  <si>
    <t xml:space="preserve">Mar 21, 2026</t>
  </si>
  <si>
    <t xml:space="preserve">TOTAL ALL POs</t>
  </si>
  <si>
    <t xml:space="preserve">BodyJ4You — Component Shipments by Week (Miami → FBA)</t>
  </si>
  <si>
    <t xml:space="preserve">Units shipped per week per component  ·  Includes FBA + Walmart  ·  Through May 4, 2026</t>
  </si>
  <si>
    <t xml:space="preserve">Mar 2 – Mar 9</t>
  </si>
  <si>
    <t xml:space="preserve">Mar 13 – Mar 20</t>
  </si>
  <si>
    <t xml:space="preserve">Mar 23 – Mar 29</t>
  </si>
  <si>
    <t xml:space="preserve">Mar 30 – Apr 5</t>
  </si>
  <si>
    <t xml:space="preserve">Apr 6 – Apr 13</t>
  </si>
  <si>
    <t xml:space="preserve">Apr 13 – Apr 15</t>
  </si>
  <si>
    <t xml:space="preserve">Apr 16 – Apr 20</t>
  </si>
  <si>
    <t xml:space="preserve">Apr 20 – Apr 27</t>
  </si>
  <si>
    <t xml:space="preserve">Apr 27 – May 4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</si>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</sst>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"/>
    <numFmt numFmtId="168" formatCode="\$0.000"/>
    <numFmt numFmtId="169" formatCode="\$#,##0.00"/>
    <numFmt numFmtId="170" formatCode="\$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21.75" hidden="false" customHeight="true" outlineLevel="0" collapsed="false">
      <c r="A1" s="1"/>
      <c r="B1" s="2" t="s">
        <v>0</v>
      </c>
    </row>
    <row r="2" customFormat="false" ht="15" hidden="false" customHeight="false" outlineLevel="0" collapsed="false">
      <c r="A2" s="1"/>
      <c r="B2" s="3" t="s">
        <v>1</v>
      </c>
    </row>
    <row r="4" customFormat="false" ht="15" hidden="false" customHeight="fals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customFormat="false" ht="15" hidden="false" customHeight="false" outlineLevel="0" collapsed="false">
      <c r="B5" s="5" t="s">
        <v>11</v>
      </c>
      <c r="C5" s="6" t="n">
        <v>49548</v>
      </c>
      <c r="D5" s="6" t="n">
        <v>30000</v>
      </c>
      <c r="E5" s="7" t="n">
        <v>705.5</v>
      </c>
      <c r="F5" s="8" t="n">
        <v>120</v>
      </c>
      <c r="G5" s="8" t="n">
        <v>113</v>
      </c>
      <c r="H5" s="9" t="n">
        <v>5112</v>
      </c>
      <c r="I5" s="10" t="n">
        <v>0.12</v>
      </c>
      <c r="J5" s="11" t="n">
        <f aca="false">H5*I5</f>
        <v>613.44</v>
      </c>
    </row>
    <row r="6" customFormat="false" ht="15" hidden="false" customHeight="false" outlineLevel="0" collapsed="false">
      <c r="B6" s="12" t="s">
        <v>12</v>
      </c>
      <c r="C6" s="13" t="n">
        <v>23408</v>
      </c>
      <c r="D6" s="13" t="n">
        <v>20000</v>
      </c>
      <c r="E6" s="14" t="n">
        <v>548.2</v>
      </c>
      <c r="F6" s="15" t="n">
        <v>120</v>
      </c>
      <c r="G6" s="15" t="n">
        <v>79</v>
      </c>
      <c r="H6" s="16" t="n">
        <v>22376</v>
      </c>
      <c r="I6" s="17" t="n">
        <v>0.08</v>
      </c>
      <c r="J6" s="18" t="n">
        <f aca="false">H6*I6</f>
        <v>1790.08</v>
      </c>
    </row>
    <row r="7" customFormat="false" ht="15" hidden="false" customHeight="false" outlineLevel="0" collapsed="false">
      <c r="B7" s="5" t="s">
        <v>13</v>
      </c>
      <c r="C7" s="6" t="n">
        <v>3070</v>
      </c>
      <c r="D7" s="6"/>
      <c r="E7" s="7" t="n">
        <v>180.9</v>
      </c>
      <c r="F7" s="8" t="n">
        <v>30</v>
      </c>
      <c r="G7" s="8" t="n">
        <v>17</v>
      </c>
      <c r="H7" s="9" t="n">
        <v>2357</v>
      </c>
      <c r="I7" s="10" t="n">
        <v>0.12</v>
      </c>
      <c r="J7" s="11" t="n">
        <f aca="false">H7*I7</f>
        <v>282.84</v>
      </c>
    </row>
    <row r="8" customFormat="false" ht="15" hidden="false" customHeight="false" outlineLevel="0" collapsed="false">
      <c r="B8" s="12" t="s">
        <v>14</v>
      </c>
      <c r="C8" s="13" t="n">
        <v>750</v>
      </c>
      <c r="D8" s="13"/>
      <c r="E8" s="14" t="n">
        <v>111.6</v>
      </c>
      <c r="F8" s="15" t="n">
        <v>120</v>
      </c>
      <c r="G8" s="15" t="n">
        <v>7</v>
      </c>
      <c r="H8" s="16" t="n">
        <v>12642</v>
      </c>
      <c r="I8" s="17" t="n">
        <v>0.06</v>
      </c>
      <c r="J8" s="18" t="n">
        <f aca="false">H8*I8</f>
        <v>758.52</v>
      </c>
    </row>
    <row r="9" customFormat="false" ht="15" hidden="false" customHeight="false" outlineLevel="0" collapsed="false">
      <c r="B9" s="5" t="s">
        <v>15</v>
      </c>
      <c r="C9" s="6" t="n">
        <v>5850</v>
      </c>
      <c r="D9" s="6" t="n">
        <v>11475</v>
      </c>
      <c r="E9" s="7" t="n">
        <v>119</v>
      </c>
      <c r="F9" s="8" t="n">
        <v>120</v>
      </c>
      <c r="G9" s="8" t="n">
        <v>146</v>
      </c>
      <c r="H9" s="19"/>
      <c r="I9" s="10" t="n">
        <v>0.09</v>
      </c>
      <c r="J9" s="20"/>
    </row>
    <row r="10" customFormat="false" ht="15" hidden="false" customHeight="false" outlineLevel="0" collapsed="false">
      <c r="B10" s="12" t="s">
        <v>16</v>
      </c>
      <c r="C10" s="13"/>
      <c r="D10" s="13" t="n">
        <v>4950</v>
      </c>
      <c r="E10" s="14" t="n">
        <v>104.5</v>
      </c>
      <c r="F10" s="15" t="n">
        <v>120</v>
      </c>
      <c r="G10" s="15" t="n">
        <v>108</v>
      </c>
      <c r="H10" s="16" t="n">
        <v>1304</v>
      </c>
      <c r="I10" s="17" t="n">
        <v>0.15</v>
      </c>
      <c r="J10" s="18" t="n">
        <f aca="false">H10*I10</f>
        <v>195.6</v>
      </c>
    </row>
    <row r="11" customFormat="false" ht="15" hidden="false" customHeight="false" outlineLevel="0" collapsed="false">
      <c r="B11" s="12" t="s">
        <v>17</v>
      </c>
      <c r="C11" s="13" t="n">
        <v>6015</v>
      </c>
      <c r="D11" s="13" t="n">
        <v>9900</v>
      </c>
      <c r="E11" s="14" t="n">
        <v>104.5</v>
      </c>
      <c r="F11" s="15" t="n">
        <v>120</v>
      </c>
      <c r="G11" s="15" t="n">
        <v>152</v>
      </c>
      <c r="H11" s="21"/>
      <c r="I11" s="17" t="n">
        <v>0.08</v>
      </c>
      <c r="J11" s="22"/>
    </row>
    <row r="12" customFormat="false" ht="15" hidden="false" customHeight="false" outlineLevel="0" collapsed="false">
      <c r="B12" s="12" t="s">
        <v>18</v>
      </c>
      <c r="C12" s="13" t="n">
        <v>500</v>
      </c>
      <c r="D12" s="13" t="n">
        <v>1920</v>
      </c>
      <c r="E12" s="14" t="n">
        <v>7.8</v>
      </c>
      <c r="F12" s="15" t="n">
        <v>120</v>
      </c>
      <c r="G12" s="15" t="n">
        <v>483</v>
      </c>
      <c r="H12" s="21"/>
      <c r="I12" s="17" t="n">
        <v>0.19</v>
      </c>
      <c r="J12" s="22"/>
    </row>
    <row r="13" customFormat="false" ht="15" hidden="false" customHeight="false" outlineLevel="0" collapsed="false">
      <c r="B13" s="12" t="s">
        <v>19</v>
      </c>
      <c r="C13" s="13" t="n">
        <v>600</v>
      </c>
      <c r="D13" s="13"/>
      <c r="E13" s="14" t="n">
        <v>5.9</v>
      </c>
      <c r="F13" s="15" t="n">
        <v>120</v>
      </c>
      <c r="G13" s="15" t="n">
        <v>102</v>
      </c>
      <c r="H13" s="16" t="n">
        <v>108</v>
      </c>
      <c r="I13" s="17" t="n">
        <v>0.12</v>
      </c>
      <c r="J13" s="18" t="n">
        <f aca="false">H13*I13</f>
        <v>12.96</v>
      </c>
    </row>
    <row r="14" customFormat="false" ht="15" hidden="false" customHeight="false" outlineLevel="0" collapsed="false">
      <c r="B14" s="5" t="s">
        <v>20</v>
      </c>
      <c r="C14" s="6"/>
      <c r="D14" s="6" t="n">
        <v>9900</v>
      </c>
      <c r="E14" s="7" t="n">
        <v>121</v>
      </c>
      <c r="F14" s="8" t="n">
        <v>120</v>
      </c>
      <c r="G14" s="8" t="n">
        <v>142</v>
      </c>
      <c r="H14" s="19"/>
      <c r="I14" s="10" t="n">
        <v>0.15</v>
      </c>
      <c r="J14" s="20"/>
    </row>
    <row r="15" customFormat="false" ht="15" hidden="false" customHeight="false" outlineLevel="0" collapsed="false">
      <c r="B15" s="12" t="s">
        <v>21</v>
      </c>
      <c r="C15" s="13" t="n">
        <v>9740</v>
      </c>
      <c r="D15" s="13" t="n">
        <v>9900</v>
      </c>
      <c r="E15" s="14" t="n">
        <v>121</v>
      </c>
      <c r="F15" s="15" t="n">
        <v>120</v>
      </c>
      <c r="G15" s="15" t="n">
        <v>162</v>
      </c>
      <c r="H15" s="21"/>
      <c r="I15" s="17" t="n">
        <v>0.08</v>
      </c>
      <c r="J15" s="22"/>
    </row>
    <row r="16" customFormat="false" ht="15" hidden="false" customHeight="false" outlineLevel="0" collapsed="false">
      <c r="B16" s="12" t="s">
        <v>22</v>
      </c>
      <c r="C16" s="13" t="n">
        <v>330</v>
      </c>
      <c r="D16" s="13" t="n">
        <v>1920</v>
      </c>
      <c r="E16" s="14" t="n">
        <v>8.1</v>
      </c>
      <c r="F16" s="15" t="n">
        <v>120</v>
      </c>
      <c r="G16" s="15" t="n">
        <v>450</v>
      </c>
      <c r="H16" s="21"/>
      <c r="I16" s="17" t="n">
        <v>0.19</v>
      </c>
      <c r="J16" s="22"/>
    </row>
    <row r="17" customFormat="false" ht="15" hidden="false" customHeight="false" outlineLevel="0" collapsed="false">
      <c r="B17" s="12" t="s">
        <v>23</v>
      </c>
      <c r="C17" s="13" t="n">
        <v>190</v>
      </c>
      <c r="D17" s="13" t="n">
        <v>1920</v>
      </c>
      <c r="E17" s="14" t="n">
        <v>8.1</v>
      </c>
      <c r="F17" s="15" t="n">
        <v>120</v>
      </c>
      <c r="G17" s="15" t="n">
        <v>260</v>
      </c>
      <c r="H17" s="21"/>
      <c r="I17" s="17" t="n">
        <v>0.12</v>
      </c>
      <c r="J17" s="22"/>
    </row>
    <row r="18" customFormat="false" ht="15" hidden="false" customHeight="false" outlineLevel="0" collapsed="false">
      <c r="B18" s="5" t="s">
        <v>24</v>
      </c>
      <c r="C18" s="6"/>
      <c r="D18" s="6" t="n">
        <v>9900</v>
      </c>
      <c r="E18" s="7" t="n">
        <v>35.3</v>
      </c>
      <c r="F18" s="8" t="n">
        <v>120</v>
      </c>
      <c r="G18" s="8" t="n">
        <v>341</v>
      </c>
      <c r="H18" s="19"/>
      <c r="I18" s="10" t="n">
        <v>0.15</v>
      </c>
      <c r="J18" s="20"/>
    </row>
    <row r="19" customFormat="false" ht="15" hidden="false" customHeight="false" outlineLevel="0" collapsed="false">
      <c r="B19" s="12" t="s">
        <v>25</v>
      </c>
      <c r="C19" s="13" t="n">
        <v>4350</v>
      </c>
      <c r="D19" s="13" t="n">
        <v>4950</v>
      </c>
      <c r="E19" s="14" t="n">
        <v>35.3</v>
      </c>
      <c r="F19" s="15" t="n">
        <v>120</v>
      </c>
      <c r="G19" s="15" t="n">
        <v>263</v>
      </c>
      <c r="H19" s="21"/>
      <c r="I19" s="17" t="n">
        <v>0.12</v>
      </c>
      <c r="J19" s="22"/>
    </row>
    <row r="20" customFormat="false" ht="15" hidden="false" customHeight="false" outlineLevel="0" collapsed="false">
      <c r="B20" s="12" t="s">
        <v>26</v>
      </c>
      <c r="C20" s="13"/>
      <c r="D20" s="13"/>
      <c r="E20" s="14" t="n">
        <v>47.8</v>
      </c>
      <c r="F20" s="15" t="n">
        <v>120</v>
      </c>
      <c r="G20" s="15" t="n">
        <v>172</v>
      </c>
      <c r="H20" s="21"/>
      <c r="I20" s="17" t="n">
        <v>0.16</v>
      </c>
      <c r="J20" s="22"/>
    </row>
    <row r="21" customFormat="false" ht="15" hidden="false" customHeight="false" outlineLevel="0" collapsed="false">
      <c r="B21" s="12" t="s">
        <v>27</v>
      </c>
      <c r="C21" s="13" t="n">
        <v>4910</v>
      </c>
      <c r="D21" s="13" t="n">
        <v>1920</v>
      </c>
      <c r="E21" s="14" t="n">
        <v>47.4</v>
      </c>
      <c r="F21" s="15" t="n">
        <v>120</v>
      </c>
      <c r="G21" s="15" t="n">
        <v>144</v>
      </c>
      <c r="H21" s="21"/>
      <c r="I21" s="17" t="n">
        <v>0.12</v>
      </c>
      <c r="J21" s="22"/>
    </row>
    <row r="22" customFormat="false" ht="15" hidden="false" customHeight="false" outlineLevel="0" collapsed="false">
      <c r="B22" s="12" t="s">
        <v>28</v>
      </c>
      <c r="C22" s="13" t="n">
        <v>1960</v>
      </c>
      <c r="D22" s="13"/>
      <c r="E22" s="14" t="n">
        <v>3.1</v>
      </c>
      <c r="F22" s="15" t="n">
        <v>120</v>
      </c>
      <c r="G22" s="15" t="n">
        <v>632</v>
      </c>
      <c r="H22" s="21"/>
      <c r="I22" s="17" t="n">
        <v>0.12</v>
      </c>
      <c r="J22" s="22"/>
    </row>
    <row r="23" customFormat="false" ht="15" hidden="false" customHeight="false" outlineLevel="0" collapsed="false">
      <c r="B23" s="5" t="s">
        <v>29</v>
      </c>
      <c r="C23" s="6" t="n">
        <v>19340</v>
      </c>
      <c r="D23" s="6"/>
      <c r="E23" s="7" t="n">
        <v>1.8</v>
      </c>
      <c r="F23" s="8" t="n">
        <v>120</v>
      </c>
      <c r="G23" s="8" t="n">
        <v>10744</v>
      </c>
      <c r="H23" s="19"/>
      <c r="I23" s="10" t="n">
        <v>0.12</v>
      </c>
      <c r="J23" s="20"/>
    </row>
    <row r="24" customFormat="false" ht="15" hidden="false" customHeight="false" outlineLevel="0" collapsed="false">
      <c r="B24" s="12" t="s">
        <v>30</v>
      </c>
      <c r="C24" s="13" t="n">
        <v>10181</v>
      </c>
      <c r="D24" s="13" t="n">
        <v>6000</v>
      </c>
      <c r="E24" s="14" t="n">
        <v>67.3</v>
      </c>
      <c r="F24" s="15" t="n">
        <v>120</v>
      </c>
      <c r="G24" s="15" t="n">
        <v>240</v>
      </c>
      <c r="H24" s="21"/>
      <c r="I24" s="17" t="n">
        <v>0.13</v>
      </c>
      <c r="J24" s="22"/>
    </row>
    <row r="25" customFormat="false" ht="15" hidden="false" customHeight="false" outlineLevel="0" collapsed="false">
      <c r="B25" s="12" t="s">
        <v>31</v>
      </c>
      <c r="C25" s="13" t="n">
        <v>11880</v>
      </c>
      <c r="D25" s="13"/>
      <c r="E25" s="14" t="n">
        <v>2.9</v>
      </c>
      <c r="F25" s="15" t="n">
        <v>120</v>
      </c>
      <c r="G25" s="15" t="n">
        <v>4097</v>
      </c>
      <c r="H25" s="21"/>
      <c r="I25" s="17" t="n">
        <v>0.16</v>
      </c>
      <c r="J25" s="22"/>
    </row>
    <row r="26" customFormat="false" ht="15" hidden="false" customHeight="false" outlineLevel="0" collapsed="false">
      <c r="B26" s="12" t="s">
        <v>32</v>
      </c>
      <c r="C26" s="13"/>
      <c r="D26" s="13" t="n">
        <v>3000</v>
      </c>
      <c r="E26" s="14"/>
      <c r="F26" s="15" t="n">
        <v>120</v>
      </c>
      <c r="G26" s="15"/>
      <c r="H26" s="21"/>
      <c r="I26" s="17" t="n">
        <v>0.09</v>
      </c>
      <c r="J26" s="22"/>
    </row>
    <row r="27" customFormat="false" ht="15" hidden="false" customHeight="false" outlineLevel="0" collapsed="false">
      <c r="B27" s="12" t="s">
        <v>33</v>
      </c>
      <c r="C27" s="13"/>
      <c r="D27" s="13" t="n">
        <v>3000</v>
      </c>
      <c r="E27" s="14"/>
      <c r="F27" s="15" t="n">
        <v>120</v>
      </c>
      <c r="G27" s="15"/>
      <c r="H27" s="21"/>
      <c r="I27" s="17" t="n">
        <v>0.12</v>
      </c>
      <c r="J27" s="22"/>
    </row>
    <row r="28" customFormat="false" ht="15" hidden="false" customHeight="false" outlineLevel="0" collapsed="false">
      <c r="B28" s="12" t="s">
        <v>34</v>
      </c>
      <c r="C28" s="13"/>
      <c r="D28" s="13" t="n">
        <v>6000</v>
      </c>
      <c r="E28" s="14"/>
      <c r="F28" s="15" t="n">
        <v>120</v>
      </c>
      <c r="G28" s="15"/>
      <c r="H28" s="21"/>
      <c r="I28" s="17" t="n">
        <v>0.09</v>
      </c>
      <c r="J28" s="22"/>
    </row>
    <row r="29" customFormat="false" ht="15" hidden="false" customHeight="false" outlineLevel="0" collapsed="false">
      <c r="B29" s="12" t="s">
        <v>35</v>
      </c>
      <c r="C29" s="13" t="n">
        <v>1305</v>
      </c>
      <c r="D29" s="13"/>
      <c r="E29" s="14" t="n">
        <v>7.7</v>
      </c>
      <c r="F29" s="15" t="n">
        <v>120</v>
      </c>
      <c r="G29" s="15" t="n">
        <v>169</v>
      </c>
      <c r="H29" s="21"/>
      <c r="I29" s="17" t="n">
        <v>0.425</v>
      </c>
      <c r="J29" s="22"/>
    </row>
    <row r="30" customFormat="false" ht="15" hidden="false" customHeight="false" outlineLevel="0" collapsed="false">
      <c r="B30" s="12" t="s">
        <v>36</v>
      </c>
      <c r="C30" s="13" t="n">
        <v>225</v>
      </c>
      <c r="D30" s="13"/>
      <c r="E30" s="14" t="n">
        <v>7.7</v>
      </c>
      <c r="F30" s="15" t="n">
        <v>120</v>
      </c>
      <c r="G30" s="15" t="n">
        <v>29</v>
      </c>
      <c r="H30" s="16" t="n">
        <v>699</v>
      </c>
      <c r="I30" s="17" t="n">
        <v>0.115</v>
      </c>
      <c r="J30" s="18" t="n">
        <f aca="false">H30*I30</f>
        <v>80.385</v>
      </c>
    </row>
    <row r="31" customFormat="false" ht="15" hidden="false" customHeight="false" outlineLevel="0" collapsed="false">
      <c r="B31" s="12" t="s">
        <v>37</v>
      </c>
      <c r="C31" s="13"/>
      <c r="D31" s="13" t="n">
        <v>960</v>
      </c>
      <c r="E31" s="14" t="n">
        <v>36.4</v>
      </c>
      <c r="F31" s="15" t="n">
        <v>120</v>
      </c>
      <c r="G31" s="15" t="n">
        <v>26</v>
      </c>
      <c r="H31" s="16" t="n">
        <v>3408</v>
      </c>
      <c r="I31" s="17" t="n">
        <v>0.21</v>
      </c>
      <c r="J31" s="18" t="n">
        <f aca="false">H31*I31</f>
        <v>715.68</v>
      </c>
    </row>
    <row r="32" customFormat="false" ht="15" hidden="false" customHeight="false" outlineLevel="0" collapsed="false">
      <c r="B32" s="5" t="s">
        <v>38</v>
      </c>
      <c r="C32" s="6" t="n">
        <v>1190</v>
      </c>
      <c r="D32" s="6"/>
      <c r="E32" s="7" t="n">
        <v>7.1</v>
      </c>
      <c r="F32" s="8" t="n">
        <v>120</v>
      </c>
      <c r="G32" s="8" t="n">
        <v>168</v>
      </c>
      <c r="H32" s="19"/>
      <c r="I32" s="10" t="n">
        <v>0.27</v>
      </c>
      <c r="J32" s="20"/>
    </row>
    <row r="33" customFormat="false" ht="15" hidden="false" customHeight="false" outlineLevel="0" collapsed="false">
      <c r="B33" s="12" t="s">
        <v>39</v>
      </c>
      <c r="C33" s="13" t="n">
        <v>1000</v>
      </c>
      <c r="D33" s="13"/>
      <c r="E33" s="14" t="n">
        <v>6.8</v>
      </c>
      <c r="F33" s="15" t="n">
        <v>120</v>
      </c>
      <c r="G33" s="15" t="n">
        <v>147</v>
      </c>
      <c r="H33" s="21"/>
      <c r="I33" s="17" t="n">
        <v>0.06</v>
      </c>
      <c r="J33" s="22"/>
    </row>
    <row r="34" customFormat="false" ht="15" hidden="false" customHeight="false" outlineLevel="0" collapsed="false">
      <c r="B34" s="12" t="s">
        <v>40</v>
      </c>
      <c r="C34" s="13" t="n">
        <v>1190</v>
      </c>
      <c r="D34" s="13"/>
      <c r="E34" s="14" t="n">
        <v>1.9</v>
      </c>
      <c r="F34" s="15" t="n">
        <v>120</v>
      </c>
      <c r="G34" s="15" t="n">
        <v>626</v>
      </c>
      <c r="H34" s="21"/>
      <c r="I34" s="17" t="n">
        <v>0.27</v>
      </c>
      <c r="J34" s="22"/>
    </row>
    <row r="35" customFormat="false" ht="15" hidden="false" customHeight="false" outlineLevel="0" collapsed="false">
      <c r="B35" s="12" t="s">
        <v>41</v>
      </c>
      <c r="C35" s="13"/>
      <c r="D35" s="13"/>
      <c r="E35" s="14" t="n">
        <v>1.6</v>
      </c>
      <c r="F35" s="15" t="n">
        <v>120</v>
      </c>
      <c r="G35" s="15" t="n">
        <v>0</v>
      </c>
      <c r="H35" s="16" t="n">
        <v>192</v>
      </c>
      <c r="I35" s="17" t="n">
        <v>0.06</v>
      </c>
      <c r="J35" s="18" t="n">
        <f aca="false">H35*I35</f>
        <v>11.52</v>
      </c>
    </row>
    <row r="36" customFormat="false" ht="15" hidden="false" customHeight="false" outlineLevel="0" collapsed="false">
      <c r="B36" s="12" t="s">
        <v>42</v>
      </c>
      <c r="C36" s="13" t="n">
        <v>590</v>
      </c>
      <c r="D36" s="13"/>
      <c r="E36" s="14" t="n">
        <v>2.3</v>
      </c>
      <c r="F36" s="15" t="n">
        <v>120</v>
      </c>
      <c r="G36" s="15" t="n">
        <v>257</v>
      </c>
      <c r="H36" s="21"/>
      <c r="I36" s="17" t="n">
        <v>0.27</v>
      </c>
      <c r="J36" s="22"/>
    </row>
    <row r="37" customFormat="false" ht="15" hidden="false" customHeight="false" outlineLevel="0" collapsed="false">
      <c r="B37" s="12" t="s">
        <v>43</v>
      </c>
      <c r="C37" s="13"/>
      <c r="D37" s="13"/>
      <c r="E37" s="14" t="n">
        <v>2</v>
      </c>
      <c r="F37" s="15" t="n">
        <v>120</v>
      </c>
      <c r="G37" s="15" t="n">
        <v>0</v>
      </c>
      <c r="H37" s="16" t="n">
        <v>240</v>
      </c>
      <c r="I37" s="17" t="n">
        <v>0.06</v>
      </c>
      <c r="J37" s="18" t="n">
        <f aca="false">H37*I37</f>
        <v>14.4</v>
      </c>
    </row>
    <row r="38" customFormat="false" ht="15" hidden="false" customHeight="false" outlineLevel="0" collapsed="false">
      <c r="B38" s="12" t="s">
        <v>44</v>
      </c>
      <c r="C38" s="13" t="n">
        <v>590</v>
      </c>
      <c r="D38" s="13"/>
      <c r="E38" s="14" t="n">
        <v>1.6</v>
      </c>
      <c r="F38" s="15" t="n">
        <v>120</v>
      </c>
      <c r="G38" s="15" t="n">
        <v>369</v>
      </c>
      <c r="H38" s="21"/>
      <c r="I38" s="17" t="n">
        <v>0.27</v>
      </c>
      <c r="J38" s="22"/>
    </row>
    <row r="39" customFormat="false" ht="15" hidden="false" customHeight="false" outlineLevel="0" collapsed="false">
      <c r="B39" s="12" t="s">
        <v>45</v>
      </c>
      <c r="C39" s="13"/>
      <c r="D39" s="13"/>
      <c r="E39" s="14" t="n">
        <v>1.2</v>
      </c>
      <c r="F39" s="15" t="n">
        <v>120</v>
      </c>
      <c r="G39" s="15" t="n">
        <v>0</v>
      </c>
      <c r="H39" s="16" t="n">
        <v>144</v>
      </c>
      <c r="I39" s="17" t="n">
        <v>0.06</v>
      </c>
      <c r="J39" s="18" t="n">
        <f aca="false">H39*I39</f>
        <v>8.64</v>
      </c>
    </row>
    <row r="40" customFormat="false" ht="15" hidden="false" customHeight="false" outlineLevel="0" collapsed="false">
      <c r="B40" s="12" t="s">
        <v>46</v>
      </c>
      <c r="C40" s="13" t="n">
        <v>600</v>
      </c>
      <c r="D40" s="13" t="n">
        <v>1000</v>
      </c>
      <c r="E40" s="14" t="n">
        <v>12.5</v>
      </c>
      <c r="F40" s="15" t="n">
        <v>120</v>
      </c>
      <c r="G40" s="15" t="n">
        <v>128</v>
      </c>
      <c r="H40" s="21"/>
      <c r="I40" s="17" t="n">
        <v>0.27</v>
      </c>
      <c r="J40" s="22"/>
    </row>
    <row r="41" customFormat="false" ht="15" hidden="false" customHeight="false" outlineLevel="0" collapsed="false">
      <c r="B41" s="12" t="s">
        <v>47</v>
      </c>
      <c r="C41" s="13" t="n">
        <v>2800</v>
      </c>
      <c r="D41" s="13" t="n">
        <v>1000</v>
      </c>
      <c r="E41" s="14" t="n">
        <v>12.5</v>
      </c>
      <c r="F41" s="15" t="n">
        <v>120</v>
      </c>
      <c r="G41" s="15" t="n">
        <v>304</v>
      </c>
      <c r="H41" s="21"/>
      <c r="I41" s="17" t="n">
        <v>0.06</v>
      </c>
      <c r="J41" s="22"/>
    </row>
    <row r="42" customFormat="false" ht="15" hidden="false" customHeight="false" outlineLevel="0" collapsed="false">
      <c r="B42" s="12" t="s">
        <v>48</v>
      </c>
      <c r="C42" s="13" t="n">
        <v>1190</v>
      </c>
      <c r="D42" s="13"/>
      <c r="E42" s="14" t="n">
        <v>3.7</v>
      </c>
      <c r="F42" s="15" t="n">
        <v>120</v>
      </c>
      <c r="G42" s="15" t="n">
        <v>322</v>
      </c>
      <c r="H42" s="21"/>
      <c r="I42" s="17" t="n">
        <v>0.27</v>
      </c>
      <c r="J42" s="22"/>
    </row>
    <row r="43" customFormat="false" ht="15" hidden="false" customHeight="false" outlineLevel="0" collapsed="false">
      <c r="B43" s="12" t="s">
        <v>49</v>
      </c>
      <c r="C43" s="13" t="n">
        <v>1000</v>
      </c>
      <c r="D43" s="13"/>
      <c r="E43" s="14" t="n">
        <v>3.4</v>
      </c>
      <c r="F43" s="15" t="n">
        <v>120</v>
      </c>
      <c r="G43" s="15" t="n">
        <v>294</v>
      </c>
      <c r="H43" s="21"/>
      <c r="I43" s="17" t="n">
        <v>0.06</v>
      </c>
      <c r="J43" s="22"/>
    </row>
    <row r="44" customFormat="false" ht="15" hidden="false" customHeight="false" outlineLevel="0" collapsed="false">
      <c r="B44" s="12" t="s">
        <v>50</v>
      </c>
      <c r="C44" s="13" t="n">
        <v>590</v>
      </c>
      <c r="D44" s="13"/>
      <c r="E44" s="14" t="n">
        <v>2.9</v>
      </c>
      <c r="F44" s="15" t="n">
        <v>120</v>
      </c>
      <c r="G44" s="15" t="n">
        <v>203</v>
      </c>
      <c r="H44" s="21"/>
      <c r="I44" s="17" t="n">
        <v>0.27</v>
      </c>
      <c r="J44" s="22"/>
    </row>
    <row r="45" customFormat="false" ht="15" hidden="false" customHeight="false" outlineLevel="0" collapsed="false">
      <c r="B45" s="12" t="s">
        <v>51</v>
      </c>
      <c r="C45" s="13"/>
      <c r="D45" s="13"/>
      <c r="E45" s="14" t="n">
        <v>2.5</v>
      </c>
      <c r="F45" s="15" t="n">
        <v>120</v>
      </c>
      <c r="G45" s="15" t="n">
        <v>0</v>
      </c>
      <c r="H45" s="16" t="n">
        <v>300</v>
      </c>
      <c r="I45" s="17" t="n">
        <v>0.06</v>
      </c>
      <c r="J45" s="18" t="n">
        <f aca="false">H45*I45</f>
        <v>18</v>
      </c>
    </row>
    <row r="46" customFormat="false" ht="15" hidden="false" customHeight="false" outlineLevel="0" collapsed="false">
      <c r="B46" s="12" t="s">
        <v>52</v>
      </c>
      <c r="C46" s="13" t="n">
        <v>600</v>
      </c>
      <c r="D46" s="13"/>
      <c r="E46" s="14" t="n">
        <v>2.7</v>
      </c>
      <c r="F46" s="15" t="n">
        <v>120</v>
      </c>
      <c r="G46" s="15" t="n">
        <v>222</v>
      </c>
      <c r="H46" s="21"/>
      <c r="I46" s="17" t="n">
        <v>0.27</v>
      </c>
      <c r="J46" s="22"/>
    </row>
    <row r="47" customFormat="false" ht="15" hidden="false" customHeight="false" outlineLevel="0" collapsed="false">
      <c r="B47" s="12" t="s">
        <v>53</v>
      </c>
      <c r="C47" s="13"/>
      <c r="D47" s="13"/>
      <c r="E47" s="14" t="n">
        <v>2.7</v>
      </c>
      <c r="F47" s="15" t="n">
        <v>120</v>
      </c>
      <c r="G47" s="15" t="n">
        <v>0</v>
      </c>
      <c r="H47" s="16" t="n">
        <v>324</v>
      </c>
      <c r="I47" s="17" t="n">
        <v>0.06</v>
      </c>
      <c r="J47" s="18" t="n">
        <f aca="false">H47*I47</f>
        <v>19.44</v>
      </c>
    </row>
    <row r="48" customFormat="false" ht="15" hidden="false" customHeight="false" outlineLevel="0" collapsed="false">
      <c r="B48" s="5" t="s">
        <v>54</v>
      </c>
      <c r="C48" s="6" t="n">
        <v>1655</v>
      </c>
      <c r="D48" s="6"/>
      <c r="E48" s="7" t="n">
        <v>11.3</v>
      </c>
      <c r="F48" s="8" t="n">
        <v>120</v>
      </c>
      <c r="G48" s="8" t="n">
        <v>146</v>
      </c>
      <c r="H48" s="19"/>
      <c r="I48" s="10" t="n">
        <v>0.4</v>
      </c>
      <c r="J48" s="20"/>
    </row>
    <row r="49" customFormat="false" ht="15" hidden="false" customHeight="false" outlineLevel="0" collapsed="false">
      <c r="B49" s="12" t="s">
        <v>55</v>
      </c>
      <c r="C49" s="13" t="n">
        <v>355</v>
      </c>
      <c r="D49" s="13" t="n">
        <v>420</v>
      </c>
      <c r="E49" s="14" t="n">
        <v>10.2</v>
      </c>
      <c r="F49" s="15" t="n">
        <v>120</v>
      </c>
      <c r="G49" s="15" t="n">
        <v>76</v>
      </c>
      <c r="H49" s="16" t="n">
        <v>449</v>
      </c>
      <c r="I49" s="17" t="n">
        <v>0.96</v>
      </c>
      <c r="J49" s="18" t="n">
        <f aca="false">H49*I49</f>
        <v>431.04</v>
      </c>
    </row>
    <row r="50" customFormat="false" ht="15" hidden="false" customHeight="false" outlineLevel="0" collapsed="false">
      <c r="B50" s="12" t="s">
        <v>56</v>
      </c>
      <c r="C50" s="13"/>
      <c r="D50" s="13"/>
      <c r="E50" s="14" t="n">
        <v>1</v>
      </c>
      <c r="F50" s="15" t="n">
        <v>120</v>
      </c>
      <c r="G50" s="15" t="n">
        <v>0</v>
      </c>
      <c r="H50" s="16" t="n">
        <v>120</v>
      </c>
      <c r="I50" s="17" t="n">
        <v>0.96</v>
      </c>
      <c r="J50" s="18" t="n">
        <f aca="false">H50*I50</f>
        <v>115.2</v>
      </c>
    </row>
    <row r="51" customFormat="false" ht="15" hidden="false" customHeight="false" outlineLevel="0" collapsed="false">
      <c r="B51" s="12" t="s">
        <v>57</v>
      </c>
      <c r="C51" s="13" t="n">
        <v>1800</v>
      </c>
      <c r="D51" s="13"/>
      <c r="E51" s="14" t="n">
        <v>1</v>
      </c>
      <c r="F51" s="15" t="n">
        <v>120</v>
      </c>
      <c r="G51" s="15" t="n">
        <v>1800</v>
      </c>
      <c r="H51" s="21"/>
      <c r="I51" s="17" t="n">
        <v>0.09</v>
      </c>
      <c r="J51" s="22"/>
    </row>
    <row r="52" customFormat="false" ht="15" hidden="false" customHeight="false" outlineLevel="0" collapsed="false">
      <c r="B52" s="5" t="s">
        <v>58</v>
      </c>
      <c r="C52" s="6" t="n">
        <v>1117</v>
      </c>
      <c r="D52" s="6" t="n">
        <v>2500</v>
      </c>
      <c r="E52" s="7" t="n">
        <v>86.2</v>
      </c>
      <c r="F52" s="8" t="n">
        <v>60</v>
      </c>
      <c r="G52" s="8" t="n">
        <v>42</v>
      </c>
      <c r="H52" s="9" t="n">
        <v>1555</v>
      </c>
      <c r="I52" s="10" t="n">
        <v>0.06</v>
      </c>
      <c r="J52" s="11" t="n">
        <f aca="false">H52*I52</f>
        <v>93.3</v>
      </c>
    </row>
    <row r="53" customFormat="false" ht="15" hidden="false" customHeight="false" outlineLevel="0" collapsed="false">
      <c r="B53" s="12" t="s">
        <v>59</v>
      </c>
      <c r="C53" s="13" t="n">
        <v>100</v>
      </c>
      <c r="D53" s="13"/>
      <c r="E53" s="14" t="n">
        <v>1.2</v>
      </c>
      <c r="F53" s="15" t="n">
        <v>60</v>
      </c>
      <c r="G53" s="15" t="n">
        <v>83</v>
      </c>
      <c r="H53" s="21"/>
      <c r="I53" s="17" t="n">
        <v>0.45</v>
      </c>
      <c r="J53" s="22"/>
    </row>
    <row r="54" customFormat="false" ht="15" hidden="false" customHeight="false" outlineLevel="0" collapsed="false">
      <c r="B54" s="12" t="s">
        <v>60</v>
      </c>
      <c r="C54" s="13"/>
      <c r="D54" s="13" t="n">
        <v>100</v>
      </c>
      <c r="E54" s="14" t="n">
        <v>2.1</v>
      </c>
      <c r="F54" s="15" t="n">
        <v>60</v>
      </c>
      <c r="G54" s="15" t="n">
        <v>48</v>
      </c>
      <c r="H54" s="16" t="n">
        <v>26</v>
      </c>
      <c r="I54" s="17" t="n">
        <v>0.43</v>
      </c>
      <c r="J54" s="18" t="n">
        <f aca="false">H54*I54</f>
        <v>11.18</v>
      </c>
    </row>
    <row r="55" customFormat="false" ht="15" hidden="false" customHeight="false" outlineLevel="0" collapsed="false">
      <c r="B55" s="12" t="s">
        <v>61</v>
      </c>
      <c r="C55" s="13" t="n">
        <v>2180</v>
      </c>
      <c r="D55" s="13"/>
      <c r="E55" s="14" t="n">
        <v>45.7</v>
      </c>
      <c r="F55" s="15" t="n">
        <v>60</v>
      </c>
      <c r="G55" s="15" t="n">
        <v>48</v>
      </c>
      <c r="H55" s="16" t="n">
        <v>562</v>
      </c>
      <c r="I55" s="17" t="n">
        <v>0.29</v>
      </c>
      <c r="J55" s="18" t="n">
        <f aca="false">H55*I55</f>
        <v>162.98</v>
      </c>
    </row>
    <row r="56" customFormat="false" ht="15" hidden="false" customHeight="false" outlineLevel="0" collapsed="false">
      <c r="B56" s="12" t="s">
        <v>62</v>
      </c>
      <c r="C56" s="13"/>
      <c r="D56" s="13"/>
      <c r="E56" s="14" t="n">
        <v>0.4</v>
      </c>
      <c r="F56" s="15" t="n">
        <v>120</v>
      </c>
      <c r="G56" s="15" t="n">
        <v>0</v>
      </c>
      <c r="H56" s="16" t="n">
        <v>48</v>
      </c>
      <c r="I56" s="17" t="n">
        <v>0.06</v>
      </c>
      <c r="J56" s="18" t="n">
        <f aca="false">H56*I56</f>
        <v>2.88</v>
      </c>
    </row>
    <row r="57" customFormat="false" ht="15" hidden="false" customHeight="false" outlineLevel="0" collapsed="false">
      <c r="B57" s="12" t="s">
        <v>63</v>
      </c>
      <c r="C57" s="13"/>
      <c r="D57" s="13"/>
      <c r="E57" s="14" t="n">
        <v>0.4</v>
      </c>
      <c r="F57" s="15" t="n">
        <v>120</v>
      </c>
      <c r="G57" s="15" t="n">
        <v>0</v>
      </c>
      <c r="H57" s="16" t="n">
        <v>48</v>
      </c>
      <c r="I57" s="17" t="n">
        <v>2.26</v>
      </c>
      <c r="J57" s="18" t="n">
        <f aca="false">H57*I57</f>
        <v>108.48</v>
      </c>
    </row>
    <row r="58" customFormat="false" ht="15" hidden="false" customHeight="false" outlineLevel="0" collapsed="false">
      <c r="B58" s="12" t="s">
        <v>64</v>
      </c>
      <c r="C58" s="13"/>
      <c r="D58" s="13"/>
      <c r="E58" s="14" t="n">
        <v>0.1</v>
      </c>
      <c r="F58" s="15" t="n">
        <v>60</v>
      </c>
      <c r="G58" s="15" t="n">
        <v>0</v>
      </c>
      <c r="H58" s="16" t="n">
        <v>6</v>
      </c>
      <c r="I58" s="17" t="n">
        <v>0.75</v>
      </c>
      <c r="J58" s="18" t="n">
        <f aca="false">H58*I58</f>
        <v>4.5</v>
      </c>
    </row>
    <row r="59" customFormat="false" ht="15" hidden="false" customHeight="false" outlineLevel="0" collapsed="false">
      <c r="B59" s="12" t="s">
        <v>65</v>
      </c>
      <c r="C59" s="13"/>
      <c r="D59" s="13"/>
      <c r="E59" s="14" t="n">
        <v>0.3</v>
      </c>
      <c r="F59" s="15" t="n">
        <v>60</v>
      </c>
      <c r="G59" s="15" t="n">
        <v>0</v>
      </c>
      <c r="H59" s="16" t="n">
        <v>18</v>
      </c>
      <c r="I59" s="17" t="n">
        <v>0.75</v>
      </c>
      <c r="J59" s="18" t="n">
        <f aca="false">H59*I59</f>
        <v>13.5</v>
      </c>
    </row>
    <row r="60" customFormat="false" ht="15" hidden="false" customHeight="false" outlineLevel="0" collapsed="false">
      <c r="B60" s="23" t="s">
        <v>66</v>
      </c>
      <c r="J60" s="24" t="n">
        <f aca="false">SUM(J5:J59)</f>
        <v>5464.565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36"/>
    <col collapsed="false" customWidth="true" hidden="false" outlineLevel="0" max="8" min="7" style="0" width="11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/>
      <c r="B1" s="2" t="s">
        <v>67</v>
      </c>
    </row>
    <row r="2" customFormat="false" ht="15" hidden="false" customHeight="false" outlineLevel="0" collapsed="false">
      <c r="A2" s="1"/>
      <c r="B2" s="3" t="s">
        <v>68</v>
      </c>
    </row>
    <row r="4" customFormat="false" ht="15" hidden="false" customHeight="false" outlineLevel="0" collapsed="false"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4" t="s">
        <v>76</v>
      </c>
    </row>
    <row r="5" customFormat="false" ht="15" hidden="false" customHeight="false" outlineLevel="0" collapsed="false">
      <c r="B5" s="25" t="s">
        <v>77</v>
      </c>
      <c r="C5" s="25" t="s">
        <v>78</v>
      </c>
      <c r="D5" s="25" t="s">
        <v>79</v>
      </c>
      <c r="E5" s="25" t="s">
        <v>80</v>
      </c>
      <c r="F5" s="25" t="s">
        <v>81</v>
      </c>
      <c r="G5" s="25"/>
      <c r="H5" s="25"/>
      <c r="I5" s="26" t="n">
        <f aca="false">SUM(I6:I13)</f>
        <v>7660</v>
      </c>
    </row>
    <row r="6" customFormat="false" ht="15" hidden="false" customHeight="false" outlineLevel="0" collapsed="false">
      <c r="B6" s="27" t="s">
        <v>77</v>
      </c>
      <c r="C6" s="27" t="s">
        <v>78</v>
      </c>
      <c r="D6" s="27" t="s">
        <v>79</v>
      </c>
      <c r="E6" s="27" t="s">
        <v>80</v>
      </c>
      <c r="F6" s="27" t="s">
        <v>11</v>
      </c>
      <c r="G6" s="28" t="n">
        <v>30000</v>
      </c>
      <c r="H6" s="29" t="n">
        <v>0.12</v>
      </c>
      <c r="I6" s="30" t="n">
        <f aca="false">G6*H6</f>
        <v>3600</v>
      </c>
    </row>
    <row r="7" customFormat="false" ht="15" hidden="false" customHeight="false" outlineLevel="0" collapsed="false">
      <c r="B7" s="27" t="s">
        <v>77</v>
      </c>
      <c r="C7" s="27" t="s">
        <v>78</v>
      </c>
      <c r="D7" s="27" t="s">
        <v>79</v>
      </c>
      <c r="E7" s="27" t="s">
        <v>80</v>
      </c>
      <c r="F7" s="27" t="s">
        <v>12</v>
      </c>
      <c r="G7" s="28" t="n">
        <v>20000</v>
      </c>
      <c r="H7" s="29" t="n">
        <v>0.08</v>
      </c>
      <c r="I7" s="30" t="n">
        <f aca="false">G7*H7</f>
        <v>1600</v>
      </c>
    </row>
    <row r="8" customFormat="false" ht="15" hidden="false" customHeight="false" outlineLevel="0" collapsed="false">
      <c r="B8" s="27" t="s">
        <v>77</v>
      </c>
      <c r="C8" s="27" t="s">
        <v>78</v>
      </c>
      <c r="D8" s="27" t="s">
        <v>79</v>
      </c>
      <c r="E8" s="27" t="s">
        <v>80</v>
      </c>
      <c r="F8" s="27" t="s">
        <v>46</v>
      </c>
      <c r="G8" s="28" t="n">
        <v>1000</v>
      </c>
      <c r="H8" s="29" t="n">
        <v>0.27</v>
      </c>
      <c r="I8" s="30" t="n">
        <f aca="false">G8*H8</f>
        <v>270</v>
      </c>
    </row>
    <row r="9" customFormat="false" ht="15" hidden="false" customHeight="false" outlineLevel="0" collapsed="false">
      <c r="B9" s="27" t="s">
        <v>77</v>
      </c>
      <c r="C9" s="27" t="s">
        <v>78</v>
      </c>
      <c r="D9" s="27" t="s">
        <v>79</v>
      </c>
      <c r="E9" s="27" t="s">
        <v>80</v>
      </c>
      <c r="F9" s="27" t="s">
        <v>47</v>
      </c>
      <c r="G9" s="28" t="n">
        <v>1000</v>
      </c>
      <c r="H9" s="29" t="n">
        <v>0.06</v>
      </c>
      <c r="I9" s="30" t="n">
        <f aca="false">G9*H9</f>
        <v>60</v>
      </c>
    </row>
    <row r="10" customFormat="false" ht="15" hidden="false" customHeight="false" outlineLevel="0" collapsed="false">
      <c r="B10" s="27" t="s">
        <v>77</v>
      </c>
      <c r="C10" s="27" t="s">
        <v>78</v>
      </c>
      <c r="D10" s="27" t="s">
        <v>79</v>
      </c>
      <c r="E10" s="27" t="s">
        <v>80</v>
      </c>
      <c r="F10" s="27" t="s">
        <v>30</v>
      </c>
      <c r="G10" s="28" t="n">
        <v>6000</v>
      </c>
      <c r="H10" s="29" t="n">
        <v>0.16</v>
      </c>
      <c r="I10" s="30" t="n">
        <f aca="false">G10*H10</f>
        <v>960</v>
      </c>
    </row>
    <row r="11" customFormat="false" ht="15" hidden="false" customHeight="false" outlineLevel="0" collapsed="false">
      <c r="B11" s="27" t="s">
        <v>77</v>
      </c>
      <c r="C11" s="27" t="s">
        <v>78</v>
      </c>
      <c r="D11" s="27" t="s">
        <v>79</v>
      </c>
      <c r="E11" s="27" t="s">
        <v>80</v>
      </c>
      <c r="F11" s="27" t="s">
        <v>34</v>
      </c>
      <c r="G11" s="28" t="n">
        <v>6000</v>
      </c>
      <c r="H11" s="29" t="n">
        <v>0.09</v>
      </c>
      <c r="I11" s="30" t="n">
        <f aca="false">G11*H11</f>
        <v>540</v>
      </c>
    </row>
    <row r="12" customFormat="false" ht="15" hidden="false" customHeight="false" outlineLevel="0" collapsed="false">
      <c r="B12" s="27" t="s">
        <v>77</v>
      </c>
      <c r="C12" s="27" t="s">
        <v>78</v>
      </c>
      <c r="D12" s="27" t="s">
        <v>79</v>
      </c>
      <c r="E12" s="27" t="s">
        <v>80</v>
      </c>
      <c r="F12" s="27" t="s">
        <v>32</v>
      </c>
      <c r="G12" s="28" t="n">
        <v>3000</v>
      </c>
      <c r="H12" s="29" t="n">
        <v>0.09</v>
      </c>
      <c r="I12" s="30" t="n">
        <f aca="false">G12*H12</f>
        <v>270</v>
      </c>
    </row>
    <row r="13" customFormat="false" ht="15" hidden="false" customHeight="false" outlineLevel="0" collapsed="false">
      <c r="B13" s="27" t="s">
        <v>77</v>
      </c>
      <c r="C13" s="27" t="s">
        <v>78</v>
      </c>
      <c r="D13" s="27" t="s">
        <v>79</v>
      </c>
      <c r="E13" s="27" t="s">
        <v>80</v>
      </c>
      <c r="F13" s="27" t="s">
        <v>33</v>
      </c>
      <c r="G13" s="28" t="n">
        <v>3000</v>
      </c>
      <c r="H13" s="29" t="n">
        <v>0.12</v>
      </c>
      <c r="I13" s="30" t="n">
        <f aca="false">G13*H13</f>
        <v>360</v>
      </c>
    </row>
    <row r="15" customFormat="false" ht="15" hidden="false" customHeight="false" outlineLevel="0" collapsed="false">
      <c r="B15" s="25" t="s">
        <v>82</v>
      </c>
      <c r="C15" s="25" t="s">
        <v>83</v>
      </c>
      <c r="D15" s="25" t="s">
        <v>84</v>
      </c>
      <c r="E15" s="25" t="s">
        <v>85</v>
      </c>
      <c r="F15" s="25" t="s">
        <v>86</v>
      </c>
      <c r="G15" s="25"/>
      <c r="H15" s="25"/>
      <c r="I15" s="26" t="n">
        <f aca="false">SUM(I16:I17)</f>
        <v>604.8</v>
      </c>
    </row>
    <row r="16" customFormat="false" ht="15" hidden="false" customHeight="false" outlineLevel="0" collapsed="false">
      <c r="B16" s="27" t="s">
        <v>82</v>
      </c>
      <c r="C16" s="27" t="s">
        <v>83</v>
      </c>
      <c r="D16" s="27" t="s">
        <v>84</v>
      </c>
      <c r="E16" s="27" t="s">
        <v>85</v>
      </c>
      <c r="F16" s="27" t="s">
        <v>37</v>
      </c>
      <c r="G16" s="28" t="n">
        <v>960</v>
      </c>
      <c r="H16" s="29" t="n">
        <v>0.21</v>
      </c>
      <c r="I16" s="30" t="n">
        <f aca="false">G16*H16</f>
        <v>201.6</v>
      </c>
    </row>
    <row r="17" customFormat="false" ht="15" hidden="false" customHeight="false" outlineLevel="0" collapsed="false">
      <c r="B17" s="27" t="s">
        <v>82</v>
      </c>
      <c r="C17" s="27" t="s">
        <v>83</v>
      </c>
      <c r="D17" s="27" t="s">
        <v>84</v>
      </c>
      <c r="E17" s="27" t="s">
        <v>85</v>
      </c>
      <c r="F17" s="27" t="s">
        <v>55</v>
      </c>
      <c r="G17" s="28" t="n">
        <v>420</v>
      </c>
      <c r="H17" s="29" t="n">
        <v>0.96</v>
      </c>
      <c r="I17" s="30" t="n">
        <f aca="false">G17*H17</f>
        <v>403.2</v>
      </c>
    </row>
    <row r="19" customFormat="false" ht="15" hidden="false" customHeight="false" outlineLevel="0" collapsed="false">
      <c r="B19" s="25" t="s">
        <v>87</v>
      </c>
      <c r="C19" s="25" t="s">
        <v>88</v>
      </c>
      <c r="D19" s="25" t="s">
        <v>89</v>
      </c>
      <c r="E19" s="25" t="s">
        <v>85</v>
      </c>
      <c r="F19" s="25" t="s">
        <v>86</v>
      </c>
      <c r="G19" s="25"/>
      <c r="H19" s="25"/>
      <c r="I19" s="26" t="n">
        <f aca="false">SUM(I20:I21)</f>
        <v>193</v>
      </c>
    </row>
    <row r="20" customFormat="false" ht="15" hidden="false" customHeight="false" outlineLevel="0" collapsed="false">
      <c r="B20" s="27" t="s">
        <v>87</v>
      </c>
      <c r="C20" s="27" t="s">
        <v>88</v>
      </c>
      <c r="D20" s="27" t="s">
        <v>89</v>
      </c>
      <c r="E20" s="27" t="s">
        <v>85</v>
      </c>
      <c r="F20" s="27" t="s">
        <v>58</v>
      </c>
      <c r="G20" s="28" t="n">
        <v>2500</v>
      </c>
      <c r="H20" s="29" t="n">
        <v>0.06</v>
      </c>
      <c r="I20" s="30" t="n">
        <f aca="false">G20*H20</f>
        <v>150</v>
      </c>
    </row>
    <row r="21" customFormat="false" ht="15" hidden="false" customHeight="false" outlineLevel="0" collapsed="false">
      <c r="B21" s="27" t="s">
        <v>87</v>
      </c>
      <c r="C21" s="27" t="s">
        <v>88</v>
      </c>
      <c r="D21" s="27" t="s">
        <v>89</v>
      </c>
      <c r="E21" s="27" t="s">
        <v>85</v>
      </c>
      <c r="F21" s="27" t="s">
        <v>60</v>
      </c>
      <c r="G21" s="28" t="n">
        <v>100</v>
      </c>
      <c r="H21" s="29" t="n">
        <v>0.43</v>
      </c>
      <c r="I21" s="30" t="n">
        <f aca="false">G21*H21</f>
        <v>43</v>
      </c>
    </row>
    <row r="23" customFormat="false" ht="15" hidden="false" customHeight="false" outlineLevel="0" collapsed="false">
      <c r="B23" s="25" t="s">
        <v>90</v>
      </c>
      <c r="C23" s="25" t="s">
        <v>91</v>
      </c>
      <c r="D23" s="25" t="s">
        <v>92</v>
      </c>
      <c r="E23" s="25" t="s">
        <v>80</v>
      </c>
      <c r="F23" s="25" t="s">
        <v>86</v>
      </c>
      <c r="G23" s="25"/>
      <c r="H23" s="25"/>
      <c r="I23" s="26" t="n">
        <f aca="false">SUM(I24:I34)</f>
        <v>7371.15</v>
      </c>
    </row>
    <row r="24" customFormat="false" ht="15" hidden="false" customHeight="false" outlineLevel="0" collapsed="false">
      <c r="B24" s="27" t="s">
        <v>90</v>
      </c>
      <c r="C24" s="27" t="s">
        <v>91</v>
      </c>
      <c r="D24" s="27" t="s">
        <v>92</v>
      </c>
      <c r="E24" s="27" t="s">
        <v>80</v>
      </c>
      <c r="F24" s="27" t="s">
        <v>21</v>
      </c>
      <c r="G24" s="28" t="n">
        <v>9900</v>
      </c>
      <c r="H24" s="29" t="n">
        <v>0.08</v>
      </c>
      <c r="I24" s="30" t="n">
        <f aca="false">G24*H24</f>
        <v>792</v>
      </c>
    </row>
    <row r="25" customFormat="false" ht="15" hidden="false" customHeight="false" outlineLevel="0" collapsed="false">
      <c r="B25" s="27" t="s">
        <v>90</v>
      </c>
      <c r="C25" s="27" t="s">
        <v>91</v>
      </c>
      <c r="D25" s="27" t="s">
        <v>92</v>
      </c>
      <c r="E25" s="27" t="s">
        <v>80</v>
      </c>
      <c r="F25" s="27" t="s">
        <v>23</v>
      </c>
      <c r="G25" s="28" t="n">
        <v>1920</v>
      </c>
      <c r="H25" s="29" t="n">
        <v>0.12</v>
      </c>
      <c r="I25" s="30" t="n">
        <f aca="false">G25*H25</f>
        <v>230.4</v>
      </c>
    </row>
    <row r="26" customFormat="false" ht="15" hidden="false" customHeight="false" outlineLevel="0" collapsed="false">
      <c r="B26" s="27" t="s">
        <v>90</v>
      </c>
      <c r="C26" s="27" t="s">
        <v>91</v>
      </c>
      <c r="D26" s="27" t="s">
        <v>92</v>
      </c>
      <c r="E26" s="27" t="s">
        <v>80</v>
      </c>
      <c r="F26" s="27" t="s">
        <v>17</v>
      </c>
      <c r="G26" s="28" t="n">
        <v>9900</v>
      </c>
      <c r="H26" s="29" t="n">
        <v>0.08</v>
      </c>
      <c r="I26" s="30" t="n">
        <f aca="false">G26*H26</f>
        <v>792</v>
      </c>
    </row>
    <row r="27" customFormat="false" ht="15" hidden="false" customHeight="false" outlineLevel="0" collapsed="false">
      <c r="B27" s="27" t="s">
        <v>90</v>
      </c>
      <c r="C27" s="27" t="s">
        <v>91</v>
      </c>
      <c r="D27" s="27" t="s">
        <v>92</v>
      </c>
      <c r="E27" s="27" t="s">
        <v>80</v>
      </c>
      <c r="F27" s="27" t="s">
        <v>27</v>
      </c>
      <c r="G27" s="28" t="n">
        <v>1920</v>
      </c>
      <c r="H27" s="29" t="n">
        <v>0.12</v>
      </c>
      <c r="I27" s="30" t="n">
        <f aca="false">G27*H27</f>
        <v>230.4</v>
      </c>
    </row>
    <row r="28" customFormat="false" ht="15" hidden="false" customHeight="false" outlineLevel="0" collapsed="false">
      <c r="B28" s="27" t="s">
        <v>90</v>
      </c>
      <c r="C28" s="27" t="s">
        <v>91</v>
      </c>
      <c r="D28" s="27" t="s">
        <v>92</v>
      </c>
      <c r="E28" s="27" t="s">
        <v>80</v>
      </c>
      <c r="F28" s="27" t="s">
        <v>25</v>
      </c>
      <c r="G28" s="28" t="n">
        <v>4950</v>
      </c>
      <c r="H28" s="29" t="n">
        <v>0.12</v>
      </c>
      <c r="I28" s="30" t="n">
        <f aca="false">G28*H28</f>
        <v>594</v>
      </c>
    </row>
    <row r="29" customFormat="false" ht="15" hidden="false" customHeight="false" outlineLevel="0" collapsed="false">
      <c r="B29" s="27" t="s">
        <v>90</v>
      </c>
      <c r="C29" s="27" t="s">
        <v>91</v>
      </c>
      <c r="D29" s="27" t="s">
        <v>92</v>
      </c>
      <c r="E29" s="27" t="s">
        <v>80</v>
      </c>
      <c r="F29" s="27" t="s">
        <v>15</v>
      </c>
      <c r="G29" s="28" t="n">
        <v>11475</v>
      </c>
      <c r="H29" s="29" t="n">
        <v>0.09</v>
      </c>
      <c r="I29" s="30" t="n">
        <f aca="false">G29*H29</f>
        <v>1032.75</v>
      </c>
    </row>
    <row r="30" customFormat="false" ht="15" hidden="false" customHeight="false" outlineLevel="0" collapsed="false">
      <c r="B30" s="27" t="s">
        <v>90</v>
      </c>
      <c r="C30" s="27" t="s">
        <v>91</v>
      </c>
      <c r="D30" s="27" t="s">
        <v>92</v>
      </c>
      <c r="E30" s="27" t="s">
        <v>80</v>
      </c>
      <c r="F30" s="27" t="s">
        <v>20</v>
      </c>
      <c r="G30" s="28" t="n">
        <v>9900</v>
      </c>
      <c r="H30" s="29" t="n">
        <v>0.15</v>
      </c>
      <c r="I30" s="30" t="n">
        <f aca="false">G30*H30</f>
        <v>1485</v>
      </c>
    </row>
    <row r="31" customFormat="false" ht="15" hidden="false" customHeight="false" outlineLevel="0" collapsed="false">
      <c r="B31" s="27" t="s">
        <v>90</v>
      </c>
      <c r="C31" s="27" t="s">
        <v>91</v>
      </c>
      <c r="D31" s="27" t="s">
        <v>92</v>
      </c>
      <c r="E31" s="27" t="s">
        <v>80</v>
      </c>
      <c r="F31" s="27" t="s">
        <v>22</v>
      </c>
      <c r="G31" s="28" t="n">
        <v>1920</v>
      </c>
      <c r="H31" s="29" t="n">
        <v>0.19</v>
      </c>
      <c r="I31" s="30" t="n">
        <f aca="false">G31*H31</f>
        <v>364.8</v>
      </c>
    </row>
    <row r="32" customFormat="false" ht="15" hidden="false" customHeight="false" outlineLevel="0" collapsed="false">
      <c r="B32" s="27" t="s">
        <v>90</v>
      </c>
      <c r="C32" s="27" t="s">
        <v>91</v>
      </c>
      <c r="D32" s="27" t="s">
        <v>92</v>
      </c>
      <c r="E32" s="27" t="s">
        <v>80</v>
      </c>
      <c r="F32" s="27" t="s">
        <v>24</v>
      </c>
      <c r="G32" s="28" t="n">
        <v>4950</v>
      </c>
      <c r="H32" s="29" t="n">
        <v>0.15</v>
      </c>
      <c r="I32" s="30" t="n">
        <f aca="false">G32*H32</f>
        <v>742.5</v>
      </c>
    </row>
    <row r="33" customFormat="false" ht="15" hidden="false" customHeight="false" outlineLevel="0" collapsed="false">
      <c r="B33" s="27" t="s">
        <v>90</v>
      </c>
      <c r="C33" s="27" t="s">
        <v>91</v>
      </c>
      <c r="D33" s="27" t="s">
        <v>92</v>
      </c>
      <c r="E33" s="27" t="s">
        <v>80</v>
      </c>
      <c r="F33" s="27" t="s">
        <v>16</v>
      </c>
      <c r="G33" s="28" t="n">
        <v>4950</v>
      </c>
      <c r="H33" s="29" t="n">
        <v>0.15</v>
      </c>
      <c r="I33" s="30" t="n">
        <f aca="false">G33*H33</f>
        <v>742.5</v>
      </c>
    </row>
    <row r="34" customFormat="false" ht="15" hidden="false" customHeight="false" outlineLevel="0" collapsed="false">
      <c r="B34" s="27" t="s">
        <v>90</v>
      </c>
      <c r="C34" s="27" t="s">
        <v>91</v>
      </c>
      <c r="D34" s="27" t="s">
        <v>92</v>
      </c>
      <c r="E34" s="27" t="s">
        <v>80</v>
      </c>
      <c r="F34" s="27" t="s">
        <v>18</v>
      </c>
      <c r="G34" s="28" t="n">
        <v>1920</v>
      </c>
      <c r="H34" s="29" t="n">
        <v>0.19</v>
      </c>
      <c r="I34" s="30" t="n">
        <f aca="false">G34*H34</f>
        <v>364.8</v>
      </c>
    </row>
    <row r="36" customFormat="false" ht="15" hidden="false" customHeight="false" outlineLevel="0" collapsed="false">
      <c r="B36" s="25" t="s">
        <v>93</v>
      </c>
      <c r="C36" s="25" t="s">
        <v>94</v>
      </c>
      <c r="D36" s="25" t="s">
        <v>95</v>
      </c>
      <c r="E36" s="25" t="s">
        <v>80</v>
      </c>
      <c r="F36" s="25" t="s">
        <v>96</v>
      </c>
      <c r="G36" s="25"/>
      <c r="H36" s="25"/>
      <c r="I36" s="26" t="n">
        <f aca="false">SUM(I37:I43)</f>
        <v>756</v>
      </c>
    </row>
    <row r="37" customFormat="false" ht="15" hidden="false" customHeight="false" outlineLevel="0" collapsed="false">
      <c r="B37" s="27" t="s">
        <v>93</v>
      </c>
      <c r="C37" s="27" t="s">
        <v>94</v>
      </c>
      <c r="D37" s="27" t="s">
        <v>95</v>
      </c>
      <c r="E37" s="27" t="s">
        <v>80</v>
      </c>
      <c r="F37" s="27" t="s">
        <v>46</v>
      </c>
      <c r="G37" s="28" t="n">
        <v>600</v>
      </c>
      <c r="H37" s="29" t="n">
        <v>0.27</v>
      </c>
      <c r="I37" s="30" t="n">
        <f aca="false">G37*H37</f>
        <v>162</v>
      </c>
    </row>
    <row r="38" customFormat="false" ht="15" hidden="false" customHeight="false" outlineLevel="0" collapsed="false">
      <c r="B38" s="27" t="s">
        <v>93</v>
      </c>
      <c r="C38" s="27" t="s">
        <v>94</v>
      </c>
      <c r="D38" s="27" t="s">
        <v>95</v>
      </c>
      <c r="E38" s="27" t="s">
        <v>80</v>
      </c>
      <c r="F38" s="27" t="s">
        <v>48</v>
      </c>
      <c r="G38" s="28" t="n">
        <v>600</v>
      </c>
      <c r="H38" s="29" t="n">
        <v>0.27</v>
      </c>
      <c r="I38" s="30" t="n">
        <f aca="false">G38*H38</f>
        <v>162</v>
      </c>
    </row>
    <row r="39" customFormat="false" ht="15" hidden="false" customHeight="false" outlineLevel="0" collapsed="false">
      <c r="B39" s="27" t="s">
        <v>93</v>
      </c>
      <c r="C39" s="27" t="s">
        <v>94</v>
      </c>
      <c r="D39" s="27" t="s">
        <v>95</v>
      </c>
      <c r="E39" s="27" t="s">
        <v>80</v>
      </c>
      <c r="F39" s="27" t="s">
        <v>38</v>
      </c>
      <c r="G39" s="28" t="n">
        <v>600</v>
      </c>
      <c r="H39" s="29" t="n">
        <v>0.27</v>
      </c>
      <c r="I39" s="30" t="n">
        <f aca="false">G39*H39</f>
        <v>162</v>
      </c>
    </row>
    <row r="40" customFormat="false" ht="15" hidden="false" customHeight="false" outlineLevel="0" collapsed="false">
      <c r="B40" s="27" t="s">
        <v>93</v>
      </c>
      <c r="C40" s="27" t="s">
        <v>94</v>
      </c>
      <c r="D40" s="27" t="s">
        <v>95</v>
      </c>
      <c r="E40" s="27" t="s">
        <v>80</v>
      </c>
      <c r="F40" s="27" t="s">
        <v>47</v>
      </c>
      <c r="G40" s="28" t="n">
        <v>1000</v>
      </c>
      <c r="H40" s="29" t="n">
        <v>0.06</v>
      </c>
      <c r="I40" s="30" t="n">
        <f aca="false">G40*H40</f>
        <v>60</v>
      </c>
    </row>
    <row r="41" customFormat="false" ht="15" hidden="false" customHeight="false" outlineLevel="0" collapsed="false">
      <c r="B41" s="27" t="s">
        <v>93</v>
      </c>
      <c r="C41" s="27" t="s">
        <v>94</v>
      </c>
      <c r="D41" s="27" t="s">
        <v>95</v>
      </c>
      <c r="E41" s="27" t="s">
        <v>80</v>
      </c>
      <c r="F41" s="27" t="s">
        <v>49</v>
      </c>
      <c r="G41" s="28" t="n">
        <v>1000</v>
      </c>
      <c r="H41" s="29" t="n">
        <v>0.06</v>
      </c>
      <c r="I41" s="30" t="n">
        <f aca="false">G41*H41</f>
        <v>60</v>
      </c>
    </row>
    <row r="42" customFormat="false" ht="15" hidden="false" customHeight="false" outlineLevel="0" collapsed="false">
      <c r="B42" s="27" t="s">
        <v>93</v>
      </c>
      <c r="C42" s="27" t="s">
        <v>94</v>
      </c>
      <c r="D42" s="27" t="s">
        <v>95</v>
      </c>
      <c r="E42" s="27" t="s">
        <v>80</v>
      </c>
      <c r="F42" s="27" t="s">
        <v>39</v>
      </c>
      <c r="G42" s="28" t="n">
        <v>1000</v>
      </c>
      <c r="H42" s="29" t="n">
        <v>0.06</v>
      </c>
      <c r="I42" s="30" t="n">
        <f aca="false">G42*H42</f>
        <v>60</v>
      </c>
    </row>
    <row r="43" customFormat="false" ht="15" hidden="false" customHeight="false" outlineLevel="0" collapsed="false">
      <c r="B43" s="27" t="s">
        <v>93</v>
      </c>
      <c r="C43" s="27" t="s">
        <v>94</v>
      </c>
      <c r="D43" s="27" t="s">
        <v>95</v>
      </c>
      <c r="E43" s="27" t="s">
        <v>80</v>
      </c>
      <c r="F43" s="27" t="s">
        <v>57</v>
      </c>
      <c r="G43" s="28" t="n">
        <v>1000</v>
      </c>
      <c r="H43" s="29" t="n">
        <v>0.09</v>
      </c>
      <c r="I43" s="30" t="n">
        <f aca="false">G43*H43</f>
        <v>90</v>
      </c>
    </row>
    <row r="45" customFormat="false" ht="15" hidden="false" customHeight="false" outlineLevel="0" collapsed="false">
      <c r="B45" s="25" t="s">
        <v>97</v>
      </c>
      <c r="C45" s="25" t="s">
        <v>98</v>
      </c>
      <c r="D45" s="25" t="s">
        <v>88</v>
      </c>
      <c r="E45" s="25" t="s">
        <v>80</v>
      </c>
      <c r="F45" s="25" t="s">
        <v>96</v>
      </c>
      <c r="G45" s="25"/>
      <c r="H45" s="25"/>
      <c r="I45" s="26" t="n">
        <f aca="false">SUM(I46:I47)</f>
        <v>5200</v>
      </c>
    </row>
    <row r="46" customFormat="false" ht="15" hidden="false" customHeight="false" outlineLevel="0" collapsed="false">
      <c r="B46" s="27" t="s">
        <v>97</v>
      </c>
      <c r="C46" s="27" t="s">
        <v>98</v>
      </c>
      <c r="D46" s="27" t="s">
        <v>88</v>
      </c>
      <c r="E46" s="27" t="s">
        <v>80</v>
      </c>
      <c r="F46" s="27" t="s">
        <v>11</v>
      </c>
      <c r="G46" s="28" t="n">
        <v>30000</v>
      </c>
      <c r="H46" s="29" t="n">
        <v>0.12</v>
      </c>
      <c r="I46" s="30" t="n">
        <f aca="false">G46*H46</f>
        <v>3600</v>
      </c>
    </row>
    <row r="47" customFormat="false" ht="15" hidden="false" customHeight="false" outlineLevel="0" collapsed="false">
      <c r="B47" s="27" t="s">
        <v>97</v>
      </c>
      <c r="C47" s="27" t="s">
        <v>98</v>
      </c>
      <c r="D47" s="27" t="s">
        <v>88</v>
      </c>
      <c r="E47" s="27" t="s">
        <v>80</v>
      </c>
      <c r="F47" s="27" t="s">
        <v>12</v>
      </c>
      <c r="G47" s="28" t="n">
        <v>20000</v>
      </c>
      <c r="H47" s="29" t="n">
        <v>0.08</v>
      </c>
      <c r="I47" s="30" t="n">
        <f aca="false">G47*H47</f>
        <v>1600</v>
      </c>
    </row>
    <row r="49" customFormat="false" ht="15" hidden="false" customHeight="false" outlineLevel="0" collapsed="false">
      <c r="B49" s="23" t="s">
        <v>99</v>
      </c>
      <c r="I49" s="24" t="n">
        <f aca="false">SUMPRODUCT(--(LEFT(F5:F48,1)&lt;&gt;"●"),G5:G48,H5:H48)</f>
        <v>21784.95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12" min="3" style="0" width="14"/>
  </cols>
  <sheetData>
    <row r="1" customFormat="false" ht="17.35" hidden="false" customHeight="false" outlineLevel="0" collapsed="false">
      <c r="A1" s="1"/>
      <c r="B1" s="2" t="s">
        <v>100</v>
      </c>
    </row>
    <row r="2" customFormat="false" ht="15" hidden="false" customHeight="false" outlineLevel="0" collapsed="false">
      <c r="A2" s="1"/>
      <c r="B2" s="3" t="s">
        <v>101</v>
      </c>
    </row>
    <row r="4" customFormat="false" ht="15" hidden="false" customHeight="false" outlineLevel="0" collapsed="false">
      <c r="B4" s="4" t="s">
        <v>73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106</v>
      </c>
      <c r="H4" s="4" t="s">
        <v>107</v>
      </c>
      <c r="I4" s="4" t="s">
        <v>108</v>
      </c>
      <c r="J4" s="4" t="s">
        <v>109</v>
      </c>
      <c r="K4" s="4" t="s">
        <v>110</v>
      </c>
      <c r="L4" s="4" t="s">
        <v>111</v>
      </c>
    </row>
    <row r="5" customFormat="false" ht="15" hidden="false" customHeight="false" outlineLevel="0" collapsed="false">
      <c r="B5" s="5" t="s">
        <v>11</v>
      </c>
      <c r="C5" s="6" t="n">
        <v>4659</v>
      </c>
      <c r="D5" s="6" t="n">
        <v>5170</v>
      </c>
      <c r="E5" s="6" t="n">
        <v>6968</v>
      </c>
      <c r="F5" s="6" t="n">
        <v>4318</v>
      </c>
      <c r="G5" s="6" t="n">
        <v>5736</v>
      </c>
      <c r="H5" s="6" t="n">
        <v>1152</v>
      </c>
      <c r="I5" s="6"/>
      <c r="J5" s="6" t="n">
        <v>5292</v>
      </c>
      <c r="K5" s="6" t="n">
        <v>5160</v>
      </c>
      <c r="L5" s="31" t="n">
        <f aca="false">SUM(C5:K5)</f>
        <v>38455</v>
      </c>
    </row>
    <row r="6" customFormat="false" ht="15" hidden="false" customHeight="false" outlineLevel="0" collapsed="false">
      <c r="B6" s="12" t="s">
        <v>12</v>
      </c>
      <c r="C6" s="13" t="n">
        <v>3840</v>
      </c>
      <c r="D6" s="13" t="n">
        <v>3840</v>
      </c>
      <c r="E6" s="13" t="n">
        <v>5192</v>
      </c>
      <c r="F6" s="13" t="n">
        <v>3072</v>
      </c>
      <c r="G6" s="13" t="n">
        <v>3840</v>
      </c>
      <c r="H6" s="13" t="n">
        <v>1152</v>
      </c>
      <c r="I6" s="13"/>
      <c r="J6" s="13" t="n">
        <v>4992</v>
      </c>
      <c r="K6" s="13" t="n">
        <v>4160</v>
      </c>
      <c r="L6" s="32" t="n">
        <f aca="false">SUM(C6:K6)</f>
        <v>30088</v>
      </c>
    </row>
    <row r="7" customFormat="false" ht="15" hidden="false" customHeight="false" outlineLevel="0" collapsed="false">
      <c r="B7" s="5" t="s">
        <v>13</v>
      </c>
      <c r="C7" s="6" t="n">
        <v>435</v>
      </c>
      <c r="D7" s="6" t="n">
        <v>685</v>
      </c>
      <c r="E7" s="6" t="n">
        <v>2550</v>
      </c>
      <c r="F7" s="6" t="n">
        <v>1120</v>
      </c>
      <c r="G7" s="6" t="n">
        <v>500</v>
      </c>
      <c r="H7" s="6"/>
      <c r="I7" s="6" t="n">
        <v>1250</v>
      </c>
      <c r="J7" s="6" t="n">
        <v>540</v>
      </c>
      <c r="K7" s="6" t="n">
        <v>1540</v>
      </c>
      <c r="L7" s="31" t="n">
        <f aca="false">SUM(C7:K7)</f>
        <v>8620</v>
      </c>
    </row>
    <row r="8" customFormat="false" ht="15" hidden="false" customHeight="false" outlineLevel="0" collapsed="false">
      <c r="B8" s="12" t="s">
        <v>14</v>
      </c>
      <c r="C8" s="13"/>
      <c r="D8" s="13" t="n">
        <v>145</v>
      </c>
      <c r="E8" s="13" t="n">
        <v>1750</v>
      </c>
      <c r="F8" s="13" t="n">
        <v>600</v>
      </c>
      <c r="G8" s="13" t="n">
        <v>500</v>
      </c>
      <c r="H8" s="13"/>
      <c r="I8" s="13" t="n">
        <v>1250</v>
      </c>
      <c r="J8" s="13"/>
      <c r="K8" s="13" t="n">
        <v>1000</v>
      </c>
      <c r="L8" s="32" t="n">
        <f aca="false">SUM(C8:K8)</f>
        <v>5245</v>
      </c>
    </row>
    <row r="9" customFormat="false" ht="15" hidden="false" customHeight="false" outlineLevel="0" collapsed="false">
      <c r="B9" s="5" t="s">
        <v>15</v>
      </c>
      <c r="C9" s="6" t="n">
        <v>650</v>
      </c>
      <c r="D9" s="6" t="n">
        <v>595</v>
      </c>
      <c r="E9" s="6" t="n">
        <v>780</v>
      </c>
      <c r="F9" s="6" t="n">
        <v>400</v>
      </c>
      <c r="G9" s="6" t="n">
        <v>1945</v>
      </c>
      <c r="H9" s="6" t="n">
        <v>405</v>
      </c>
      <c r="I9" s="6"/>
      <c r="J9" s="6" t="n">
        <v>2040</v>
      </c>
      <c r="K9" s="6" t="n">
        <v>370</v>
      </c>
      <c r="L9" s="31" t="n">
        <f aca="false">SUM(C9:K9)</f>
        <v>7185</v>
      </c>
    </row>
    <row r="10" customFormat="false" ht="15" hidden="false" customHeight="false" outlineLevel="0" collapsed="false">
      <c r="B10" s="12" t="s">
        <v>16</v>
      </c>
      <c r="C10" s="13"/>
      <c r="D10" s="13"/>
      <c r="E10" s="13" t="n">
        <v>840</v>
      </c>
      <c r="F10" s="13" t="n">
        <v>400</v>
      </c>
      <c r="G10" s="13" t="n">
        <v>315</v>
      </c>
      <c r="H10" s="13"/>
      <c r="I10" s="13"/>
      <c r="J10" s="13"/>
      <c r="K10" s="13" t="n">
        <v>2430</v>
      </c>
      <c r="L10" s="32" t="n">
        <f aca="false">SUM(C10:K10)</f>
        <v>3985</v>
      </c>
    </row>
    <row r="11" customFormat="false" ht="15" hidden="false" customHeight="false" outlineLevel="0" collapsed="false">
      <c r="B11" s="12" t="s">
        <v>17</v>
      </c>
      <c r="C11" s="13"/>
      <c r="D11" s="13"/>
      <c r="E11" s="13" t="n">
        <v>840</v>
      </c>
      <c r="F11" s="13" t="n">
        <v>400</v>
      </c>
      <c r="G11" s="13" t="n">
        <v>315</v>
      </c>
      <c r="H11" s="13"/>
      <c r="I11" s="13"/>
      <c r="J11" s="13"/>
      <c r="K11" s="13" t="n">
        <v>2430</v>
      </c>
      <c r="L11" s="32" t="n">
        <f aca="false">SUM(C11:K11)</f>
        <v>3985</v>
      </c>
    </row>
    <row r="12" customFormat="false" ht="15" hidden="false" customHeight="false" outlineLevel="0" collapsed="false">
      <c r="B12" s="12" t="s">
        <v>18</v>
      </c>
      <c r="C12" s="13"/>
      <c r="D12" s="13"/>
      <c r="E12" s="13"/>
      <c r="F12" s="13"/>
      <c r="G12" s="13" t="n">
        <v>125</v>
      </c>
      <c r="H12" s="13"/>
      <c r="I12" s="13"/>
      <c r="J12" s="13"/>
      <c r="K12" s="13" t="n">
        <v>70</v>
      </c>
      <c r="L12" s="32" t="n">
        <f aca="false">SUM(C12:K12)</f>
        <v>195</v>
      </c>
    </row>
    <row r="13" customFormat="false" ht="15" hidden="false" customHeight="false" outlineLevel="0" collapsed="false">
      <c r="B13" s="12" t="s">
        <v>19</v>
      </c>
      <c r="C13" s="13"/>
      <c r="D13" s="13"/>
      <c r="E13" s="13"/>
      <c r="F13" s="13"/>
      <c r="G13" s="13" t="n">
        <v>100</v>
      </c>
      <c r="H13" s="13"/>
      <c r="I13" s="13"/>
      <c r="J13" s="13"/>
      <c r="K13" s="13"/>
      <c r="L13" s="32" t="n">
        <f aca="false">SUM(C13:K13)</f>
        <v>100</v>
      </c>
    </row>
    <row r="14" customFormat="false" ht="15" hidden="false" customHeight="false" outlineLevel="0" collapsed="false">
      <c r="B14" s="5" t="s">
        <v>20</v>
      </c>
      <c r="C14" s="6" t="n">
        <v>2840</v>
      </c>
      <c r="D14" s="6" t="n">
        <v>1060</v>
      </c>
      <c r="E14" s="6"/>
      <c r="F14" s="6"/>
      <c r="G14" s="6"/>
      <c r="H14" s="6" t="n">
        <v>690</v>
      </c>
      <c r="I14" s="6"/>
      <c r="J14" s="6"/>
      <c r="K14" s="6"/>
      <c r="L14" s="31" t="n">
        <f aca="false">SUM(C14:K14)</f>
        <v>4590</v>
      </c>
    </row>
    <row r="15" customFormat="false" ht="15" hidden="false" customHeight="false" outlineLevel="0" collapsed="false">
      <c r="B15" s="12" t="s">
        <v>21</v>
      </c>
      <c r="C15" s="13" t="n">
        <v>2840</v>
      </c>
      <c r="D15" s="13" t="n">
        <v>1060</v>
      </c>
      <c r="E15" s="13"/>
      <c r="F15" s="13"/>
      <c r="G15" s="13"/>
      <c r="H15" s="13" t="n">
        <v>690</v>
      </c>
      <c r="I15" s="13" t="n">
        <v>3220</v>
      </c>
      <c r="J15" s="13"/>
      <c r="K15" s="13"/>
      <c r="L15" s="32" t="n">
        <f aca="false">SUM(C15:K15)</f>
        <v>7810</v>
      </c>
    </row>
    <row r="16" customFormat="false" ht="15" hidden="false" customHeight="false" outlineLevel="0" collapsed="false">
      <c r="B16" s="12" t="s">
        <v>22</v>
      </c>
      <c r="C16" s="13" t="n">
        <v>70</v>
      </c>
      <c r="D16" s="13"/>
      <c r="E16" s="13"/>
      <c r="F16" s="13"/>
      <c r="G16" s="13"/>
      <c r="H16" s="13"/>
      <c r="I16" s="13"/>
      <c r="J16" s="13"/>
      <c r="K16" s="13" t="n">
        <v>510</v>
      </c>
      <c r="L16" s="32" t="n">
        <f aca="false">SUM(C16:K16)</f>
        <v>580</v>
      </c>
    </row>
    <row r="17" customFormat="false" ht="15" hidden="false" customHeight="false" outlineLevel="0" collapsed="false">
      <c r="B17" s="12" t="s">
        <v>23</v>
      </c>
      <c r="C17" s="13" t="n">
        <v>70</v>
      </c>
      <c r="D17" s="13"/>
      <c r="E17" s="13"/>
      <c r="F17" s="13"/>
      <c r="G17" s="13"/>
      <c r="H17" s="13"/>
      <c r="I17" s="13"/>
      <c r="J17" s="13"/>
      <c r="K17" s="13" t="n">
        <v>510</v>
      </c>
      <c r="L17" s="32" t="n">
        <f aca="false">SUM(C17:K17)</f>
        <v>580</v>
      </c>
    </row>
    <row r="18" customFormat="false" ht="15" hidden="false" customHeight="false" outlineLevel="0" collapsed="false">
      <c r="B18" s="5" t="s">
        <v>24</v>
      </c>
      <c r="C18" s="6" t="n">
        <v>200</v>
      </c>
      <c r="D18" s="6" t="n">
        <v>1350</v>
      </c>
      <c r="E18" s="6" t="n">
        <v>300</v>
      </c>
      <c r="F18" s="6"/>
      <c r="G18" s="6"/>
      <c r="H18" s="6"/>
      <c r="I18" s="6"/>
      <c r="J18" s="6"/>
      <c r="K18" s="6"/>
      <c r="L18" s="31" t="n">
        <f aca="false">SUM(C18:K18)</f>
        <v>1850</v>
      </c>
    </row>
    <row r="19" customFormat="false" ht="15" hidden="false" customHeight="false" outlineLevel="0" collapsed="false">
      <c r="B19" s="12" t="s">
        <v>25</v>
      </c>
      <c r="C19" s="13" t="n">
        <v>200</v>
      </c>
      <c r="D19" s="13" t="n">
        <v>1350</v>
      </c>
      <c r="E19" s="13" t="n">
        <v>300</v>
      </c>
      <c r="F19" s="13"/>
      <c r="G19" s="13"/>
      <c r="H19" s="13"/>
      <c r="I19" s="13"/>
      <c r="J19" s="13"/>
      <c r="K19" s="13"/>
      <c r="L19" s="32" t="n">
        <f aca="false">SUM(C19:K19)</f>
        <v>1850</v>
      </c>
    </row>
    <row r="20" customFormat="false" ht="15" hidden="false" customHeight="false" outlineLevel="0" collapsed="false">
      <c r="B20" s="12" t="s">
        <v>26</v>
      </c>
      <c r="C20" s="13" t="n">
        <v>25</v>
      </c>
      <c r="D20" s="13" t="n">
        <v>2650</v>
      </c>
      <c r="E20" s="13" t="n">
        <v>445</v>
      </c>
      <c r="F20" s="13" t="n">
        <v>83</v>
      </c>
      <c r="G20" s="13" t="n">
        <v>450</v>
      </c>
      <c r="H20" s="13"/>
      <c r="I20" s="13"/>
      <c r="J20" s="13"/>
      <c r="K20" s="13"/>
      <c r="L20" s="32" t="n">
        <f aca="false">SUM(C20:K20)</f>
        <v>3653</v>
      </c>
    </row>
    <row r="21" customFormat="false" ht="15" hidden="false" customHeight="false" outlineLevel="0" collapsed="false">
      <c r="B21" s="12" t="s">
        <v>27</v>
      </c>
      <c r="C21" s="13" t="n">
        <v>25</v>
      </c>
      <c r="D21" s="13" t="n">
        <v>2650</v>
      </c>
      <c r="E21" s="13" t="n">
        <v>445</v>
      </c>
      <c r="F21" s="13" t="n">
        <v>50</v>
      </c>
      <c r="G21" s="13" t="n">
        <v>445</v>
      </c>
      <c r="H21" s="13"/>
      <c r="I21" s="13"/>
      <c r="J21" s="13"/>
      <c r="K21" s="13"/>
      <c r="L21" s="32" t="n">
        <f aca="false">SUM(C21:K21)</f>
        <v>3615</v>
      </c>
    </row>
    <row r="22" customFormat="false" ht="15" hidden="false" customHeight="false" outlineLevel="0" collapsed="false">
      <c r="B22" s="12" t="s">
        <v>28</v>
      </c>
      <c r="C22" s="13"/>
      <c r="D22" s="13" t="n">
        <v>40</v>
      </c>
      <c r="E22" s="13"/>
      <c r="F22" s="13"/>
      <c r="G22" s="13"/>
      <c r="H22" s="13"/>
      <c r="I22" s="13"/>
      <c r="J22" s="13"/>
      <c r="K22" s="13"/>
      <c r="L22" s="32" t="n">
        <f aca="false">SUM(C22:K22)</f>
        <v>40</v>
      </c>
    </row>
    <row r="23" customFormat="false" ht="15" hidden="false" customHeight="false" outlineLevel="0" collapsed="false">
      <c r="B23" s="5" t="s">
        <v>29</v>
      </c>
      <c r="C23" s="6"/>
      <c r="D23" s="6"/>
      <c r="E23" s="6"/>
      <c r="F23" s="6"/>
      <c r="G23" s="6"/>
      <c r="H23" s="6"/>
      <c r="I23" s="6" t="n">
        <v>3220</v>
      </c>
      <c r="J23" s="6"/>
      <c r="K23" s="6"/>
      <c r="L23" s="31" t="n">
        <f aca="false">SUM(C23:K23)</f>
        <v>3220</v>
      </c>
    </row>
    <row r="24" customFormat="false" ht="15" hidden="false" customHeight="false" outlineLevel="0" collapsed="false">
      <c r="B24" s="12" t="s">
        <v>30</v>
      </c>
      <c r="C24" s="13" t="n">
        <v>230</v>
      </c>
      <c r="D24" s="13" t="n">
        <v>40</v>
      </c>
      <c r="E24" s="13" t="n">
        <v>240</v>
      </c>
      <c r="F24" s="13" t="n">
        <v>425</v>
      </c>
      <c r="G24" s="13" t="n">
        <v>410</v>
      </c>
      <c r="H24" s="13"/>
      <c r="I24" s="13" t="n">
        <v>600</v>
      </c>
      <c r="J24" s="13" t="n">
        <v>1204</v>
      </c>
      <c r="K24" s="13" t="n">
        <v>580</v>
      </c>
      <c r="L24" s="32" t="n">
        <f aca="false">SUM(C24:K24)</f>
        <v>3729</v>
      </c>
    </row>
    <row r="25" customFormat="false" ht="15" hidden="false" customHeight="false" outlineLevel="0" collapsed="false">
      <c r="B25" s="12" t="s">
        <v>31</v>
      </c>
      <c r="C25" s="13"/>
      <c r="D25" s="13"/>
      <c r="E25" s="13"/>
      <c r="F25" s="13"/>
      <c r="G25" s="13" t="n">
        <v>25</v>
      </c>
      <c r="H25" s="13"/>
      <c r="I25" s="13"/>
      <c r="J25" s="13"/>
      <c r="K25" s="13" t="n">
        <v>70</v>
      </c>
      <c r="L25" s="32" t="n">
        <f aca="false">SUM(C25:K25)</f>
        <v>95</v>
      </c>
    </row>
    <row r="26" customFormat="false" ht="15" hidden="false" customHeight="false" outlineLevel="0" collapsed="false">
      <c r="B26" s="12" t="s">
        <v>32</v>
      </c>
      <c r="C26" s="13"/>
      <c r="D26" s="13"/>
      <c r="E26" s="13"/>
      <c r="F26" s="13"/>
      <c r="G26" s="13"/>
      <c r="H26" s="13"/>
      <c r="I26" s="13"/>
      <c r="J26" s="13"/>
      <c r="K26" s="13"/>
      <c r="L26" s="32" t="n">
        <f aca="false">SUM(C26:K26)</f>
        <v>0</v>
      </c>
    </row>
    <row r="27" customFormat="false" ht="15" hidden="false" customHeight="false" outlineLevel="0" collapsed="false">
      <c r="B27" s="12" t="s">
        <v>33</v>
      </c>
      <c r="C27" s="13"/>
      <c r="D27" s="13"/>
      <c r="E27" s="13"/>
      <c r="F27" s="13"/>
      <c r="G27" s="13"/>
      <c r="H27" s="13"/>
      <c r="I27" s="13"/>
      <c r="J27" s="13"/>
      <c r="K27" s="13"/>
      <c r="L27" s="32" t="n">
        <f aca="false">SUM(C27:K27)</f>
        <v>0</v>
      </c>
    </row>
    <row r="28" customFormat="false" ht="15" hidden="false" customHeight="false" outlineLevel="0" collapsed="false">
      <c r="B28" s="12" t="s">
        <v>34</v>
      </c>
      <c r="C28" s="13"/>
      <c r="D28" s="13"/>
      <c r="E28" s="13"/>
      <c r="F28" s="13"/>
      <c r="G28" s="13"/>
      <c r="H28" s="13"/>
      <c r="I28" s="13"/>
      <c r="J28" s="13"/>
      <c r="K28" s="13"/>
      <c r="L28" s="32" t="n">
        <f aca="false">SUM(C28:K28)</f>
        <v>0</v>
      </c>
    </row>
    <row r="29" customFormat="false" ht="15" hidden="false" customHeight="false" outlineLevel="0" collapsed="false">
      <c r="B29" s="12" t="s">
        <v>35</v>
      </c>
      <c r="C29" s="13"/>
      <c r="D29" s="13" t="n">
        <v>30</v>
      </c>
      <c r="E29" s="13" t="n">
        <v>140</v>
      </c>
      <c r="F29" s="13"/>
      <c r="G29" s="13" t="n">
        <v>5</v>
      </c>
      <c r="H29" s="13" t="n">
        <v>90</v>
      </c>
      <c r="I29" s="13" t="n">
        <v>15</v>
      </c>
      <c r="J29" s="13"/>
      <c r="K29" s="13"/>
      <c r="L29" s="32" t="n">
        <f aca="false">SUM(C29:K29)</f>
        <v>280</v>
      </c>
    </row>
    <row r="30" customFormat="false" ht="15" hidden="false" customHeight="false" outlineLevel="0" collapsed="false">
      <c r="B30" s="12" t="s">
        <v>36</v>
      </c>
      <c r="C30" s="13"/>
      <c r="D30" s="13" t="n">
        <v>30</v>
      </c>
      <c r="E30" s="13" t="n">
        <v>140</v>
      </c>
      <c r="F30" s="13"/>
      <c r="G30" s="13" t="n">
        <v>5</v>
      </c>
      <c r="H30" s="13" t="n">
        <v>90</v>
      </c>
      <c r="I30" s="13" t="n">
        <v>15</v>
      </c>
      <c r="J30" s="13"/>
      <c r="K30" s="13"/>
      <c r="L30" s="32" t="n">
        <f aca="false">SUM(C30:K30)</f>
        <v>280</v>
      </c>
    </row>
    <row r="31" customFormat="false" ht="15" hidden="false" customHeight="false" outlineLevel="0" collapsed="false">
      <c r="B31" s="12" t="s">
        <v>37</v>
      </c>
      <c r="C31" s="13"/>
      <c r="D31" s="13" t="n">
        <v>250</v>
      </c>
      <c r="E31" s="13" t="n">
        <v>330</v>
      </c>
      <c r="F31" s="13"/>
      <c r="G31" s="13"/>
      <c r="H31" s="13" t="n">
        <v>515</v>
      </c>
      <c r="I31" s="13"/>
      <c r="J31" s="13" t="n">
        <v>370</v>
      </c>
      <c r="K31" s="13" t="n">
        <v>10</v>
      </c>
      <c r="L31" s="32" t="n">
        <f aca="false">SUM(C31:K31)</f>
        <v>1475</v>
      </c>
    </row>
    <row r="32" customFormat="false" ht="15" hidden="false" customHeight="false" outlineLevel="0" collapsed="false">
      <c r="B32" s="5" t="s">
        <v>38</v>
      </c>
      <c r="C32" s="6"/>
      <c r="D32" s="6"/>
      <c r="E32" s="6"/>
      <c r="F32" s="6" t="n">
        <v>10</v>
      </c>
      <c r="G32" s="6"/>
      <c r="H32" s="6" t="n">
        <v>1000</v>
      </c>
      <c r="I32" s="6"/>
      <c r="J32" s="6"/>
      <c r="K32" s="6"/>
      <c r="L32" s="31" t="n">
        <f aca="false">SUM(C32:K32)</f>
        <v>1010</v>
      </c>
    </row>
    <row r="33" customFormat="false" ht="15" hidden="false" customHeight="false" outlineLevel="0" collapsed="false">
      <c r="B33" s="12" t="s">
        <v>39</v>
      </c>
      <c r="C33" s="13"/>
      <c r="D33" s="13"/>
      <c r="E33" s="13"/>
      <c r="F33" s="13"/>
      <c r="G33" s="13"/>
      <c r="H33" s="13" t="n">
        <v>1000</v>
      </c>
      <c r="I33" s="13"/>
      <c r="J33" s="13"/>
      <c r="K33" s="13"/>
      <c r="L33" s="32" t="n">
        <f aca="false">SUM(C33:K33)</f>
        <v>1000</v>
      </c>
    </row>
    <row r="34" customFormat="false" ht="15" hidden="false" customHeight="false" outlineLevel="0" collapsed="false">
      <c r="B34" s="12" t="s">
        <v>40</v>
      </c>
      <c r="C34" s="13"/>
      <c r="D34" s="13"/>
      <c r="E34" s="13"/>
      <c r="F34" s="13" t="n">
        <v>10</v>
      </c>
      <c r="G34" s="13"/>
      <c r="H34" s="13"/>
      <c r="I34" s="13"/>
      <c r="J34" s="13"/>
      <c r="K34" s="13"/>
      <c r="L34" s="32" t="n">
        <f aca="false">SUM(C34:K34)</f>
        <v>10</v>
      </c>
    </row>
    <row r="35" customFormat="false" ht="15" hidden="false" customHeight="false" outlineLevel="0" collapsed="false">
      <c r="B35" s="12" t="s">
        <v>41</v>
      </c>
      <c r="C35" s="13"/>
      <c r="D35" s="13"/>
      <c r="E35" s="13"/>
      <c r="F35" s="13"/>
      <c r="G35" s="13"/>
      <c r="H35" s="13"/>
      <c r="I35" s="13"/>
      <c r="J35" s="13"/>
      <c r="K35" s="13"/>
      <c r="L35" s="32" t="n">
        <f aca="false">SUM(C35:K35)</f>
        <v>0</v>
      </c>
    </row>
    <row r="36" customFormat="false" ht="15" hidden="false" customHeight="false" outlineLevel="0" collapsed="false">
      <c r="B36" s="12" t="s">
        <v>42</v>
      </c>
      <c r="C36" s="13"/>
      <c r="D36" s="13"/>
      <c r="E36" s="13"/>
      <c r="F36" s="13" t="n">
        <v>10</v>
      </c>
      <c r="G36" s="13"/>
      <c r="H36" s="13"/>
      <c r="I36" s="13"/>
      <c r="J36" s="13"/>
      <c r="K36" s="13"/>
      <c r="L36" s="32" t="n">
        <f aca="false">SUM(C36:K36)</f>
        <v>10</v>
      </c>
    </row>
    <row r="37" customFormat="false" ht="15" hidden="false" customHeight="false" outlineLevel="0" collapsed="false">
      <c r="B37" s="12" t="s">
        <v>43</v>
      </c>
      <c r="C37" s="13"/>
      <c r="D37" s="13"/>
      <c r="E37" s="13"/>
      <c r="F37" s="13"/>
      <c r="G37" s="13"/>
      <c r="H37" s="13"/>
      <c r="I37" s="13"/>
      <c r="J37" s="13"/>
      <c r="K37" s="13"/>
      <c r="L37" s="32" t="n">
        <f aca="false">SUM(C37:K37)</f>
        <v>0</v>
      </c>
    </row>
    <row r="38" customFormat="false" ht="15" hidden="false" customHeight="false" outlineLevel="0" collapsed="false">
      <c r="B38" s="12" t="s">
        <v>44</v>
      </c>
      <c r="C38" s="13"/>
      <c r="D38" s="13"/>
      <c r="E38" s="13"/>
      <c r="F38" s="13" t="n">
        <v>10</v>
      </c>
      <c r="G38" s="13"/>
      <c r="H38" s="13"/>
      <c r="I38" s="13"/>
      <c r="J38" s="13"/>
      <c r="K38" s="13"/>
      <c r="L38" s="32" t="n">
        <f aca="false">SUM(C38:K38)</f>
        <v>10</v>
      </c>
    </row>
    <row r="39" customFormat="false" ht="15" hidden="false" customHeight="false" outlineLevel="0" collapsed="false">
      <c r="B39" s="12" t="s">
        <v>45</v>
      </c>
      <c r="C39" s="13"/>
      <c r="D39" s="13"/>
      <c r="E39" s="13"/>
      <c r="F39" s="13"/>
      <c r="G39" s="13"/>
      <c r="H39" s="13"/>
      <c r="I39" s="13"/>
      <c r="J39" s="13"/>
      <c r="K39" s="13"/>
      <c r="L39" s="32" t="n">
        <f aca="false">SUM(C39:K39)</f>
        <v>0</v>
      </c>
    </row>
    <row r="40" customFormat="false" ht="15" hidden="false" customHeight="false" outlineLevel="0" collapsed="false">
      <c r="B40" s="12" t="s">
        <v>46</v>
      </c>
      <c r="C40" s="13"/>
      <c r="D40" s="13"/>
      <c r="E40" s="13"/>
      <c r="F40" s="13"/>
      <c r="G40" s="13"/>
      <c r="H40" s="13"/>
      <c r="I40" s="13" t="n">
        <v>550</v>
      </c>
      <c r="J40" s="13" t="n">
        <v>50</v>
      </c>
      <c r="K40" s="13"/>
      <c r="L40" s="32" t="n">
        <f aca="false">SUM(C40:K40)</f>
        <v>600</v>
      </c>
    </row>
    <row r="41" customFormat="false" ht="15" hidden="false" customHeight="false" outlineLevel="0" collapsed="false">
      <c r="B41" s="12" t="s">
        <v>47</v>
      </c>
      <c r="C41" s="13"/>
      <c r="D41" s="13"/>
      <c r="E41" s="13"/>
      <c r="F41" s="13"/>
      <c r="G41" s="13"/>
      <c r="H41" s="13"/>
      <c r="I41" s="13" t="n">
        <v>550</v>
      </c>
      <c r="J41" s="13" t="n">
        <v>50</v>
      </c>
      <c r="K41" s="13"/>
      <c r="L41" s="32" t="n">
        <f aca="false">SUM(C41:K41)</f>
        <v>600</v>
      </c>
    </row>
    <row r="42" customFormat="false" ht="15" hidden="false" customHeight="false" outlineLevel="0" collapsed="false">
      <c r="B42" s="12" t="s">
        <v>48</v>
      </c>
      <c r="C42" s="13"/>
      <c r="D42" s="13"/>
      <c r="E42" s="13"/>
      <c r="F42" s="13" t="n">
        <v>10</v>
      </c>
      <c r="G42" s="13"/>
      <c r="H42" s="13"/>
      <c r="I42" s="13"/>
      <c r="J42" s="13"/>
      <c r="K42" s="13"/>
      <c r="L42" s="32" t="n">
        <f aca="false">SUM(C42:K42)</f>
        <v>10</v>
      </c>
    </row>
    <row r="43" customFormat="false" ht="15" hidden="false" customHeight="false" outlineLevel="0" collapsed="false">
      <c r="B43" s="12" t="s">
        <v>49</v>
      </c>
      <c r="C43" s="13"/>
      <c r="D43" s="13"/>
      <c r="E43" s="13"/>
      <c r="F43" s="13"/>
      <c r="G43" s="13"/>
      <c r="H43" s="13"/>
      <c r="I43" s="13"/>
      <c r="J43" s="13"/>
      <c r="K43" s="13"/>
      <c r="L43" s="32" t="n">
        <f aca="false">SUM(C43:K43)</f>
        <v>0</v>
      </c>
    </row>
    <row r="44" customFormat="false" ht="15" hidden="false" customHeight="false" outlineLevel="0" collapsed="false">
      <c r="B44" s="12" t="s">
        <v>50</v>
      </c>
      <c r="C44" s="13"/>
      <c r="D44" s="13"/>
      <c r="E44" s="13"/>
      <c r="F44" s="13" t="n">
        <v>10</v>
      </c>
      <c r="G44" s="13"/>
      <c r="H44" s="13"/>
      <c r="I44" s="13"/>
      <c r="J44" s="13"/>
      <c r="K44" s="13"/>
      <c r="L44" s="32" t="n">
        <f aca="false">SUM(C44:K44)</f>
        <v>10</v>
      </c>
    </row>
    <row r="45" customFormat="false" ht="15" hidden="false" customHeight="false" outlineLevel="0" collapsed="false">
      <c r="B45" s="12" t="s">
        <v>51</v>
      </c>
      <c r="C45" s="13"/>
      <c r="D45" s="13"/>
      <c r="E45" s="13"/>
      <c r="F45" s="13"/>
      <c r="G45" s="13"/>
      <c r="H45" s="13"/>
      <c r="I45" s="13"/>
      <c r="J45" s="13"/>
      <c r="K45" s="13"/>
      <c r="L45" s="32" t="n">
        <f aca="false">SUM(C45:K45)</f>
        <v>0</v>
      </c>
    </row>
    <row r="46" customFormat="false" ht="15" hidden="false" customHeight="false" outlineLevel="0" collapsed="false">
      <c r="B46" s="12" t="s">
        <v>52</v>
      </c>
      <c r="C46" s="13"/>
      <c r="D46" s="13"/>
      <c r="E46" s="13"/>
      <c r="F46" s="13"/>
      <c r="G46" s="13"/>
      <c r="H46" s="13"/>
      <c r="I46" s="13"/>
      <c r="J46" s="13"/>
      <c r="K46" s="13"/>
      <c r="L46" s="32" t="n">
        <f aca="false">SUM(C46:K46)</f>
        <v>0</v>
      </c>
    </row>
    <row r="47" customFormat="false" ht="15" hidden="false" customHeight="false" outlineLevel="0" collapsed="false">
      <c r="B47" s="12" t="s">
        <v>53</v>
      </c>
      <c r="C47" s="13"/>
      <c r="D47" s="13"/>
      <c r="E47" s="13"/>
      <c r="F47" s="13"/>
      <c r="G47" s="13"/>
      <c r="H47" s="13"/>
      <c r="I47" s="13"/>
      <c r="J47" s="13"/>
      <c r="K47" s="13"/>
      <c r="L47" s="32" t="n">
        <f aca="false">SUM(C47:K47)</f>
        <v>0</v>
      </c>
    </row>
    <row r="48" customFormat="false" ht="15" hidden="false" customHeight="false" outlineLevel="0" collapsed="false">
      <c r="B48" s="5" t="s">
        <v>54</v>
      </c>
      <c r="C48" s="6" t="n">
        <v>60</v>
      </c>
      <c r="D48" s="6" t="n">
        <v>295</v>
      </c>
      <c r="E48" s="6" t="n">
        <v>150</v>
      </c>
      <c r="F48" s="6"/>
      <c r="G48" s="6"/>
      <c r="H48" s="6"/>
      <c r="I48" s="6"/>
      <c r="J48" s="6"/>
      <c r="K48" s="6"/>
      <c r="L48" s="31" t="n">
        <f aca="false">SUM(C48:K48)</f>
        <v>505</v>
      </c>
    </row>
    <row r="49" customFormat="false" ht="15" hidden="false" customHeight="false" outlineLevel="0" collapsed="false">
      <c r="B49" s="12" t="s">
        <v>55</v>
      </c>
      <c r="C49" s="13" t="n">
        <v>60</v>
      </c>
      <c r="D49" s="13" t="n">
        <v>95</v>
      </c>
      <c r="E49" s="13" t="n">
        <v>150</v>
      </c>
      <c r="F49" s="13"/>
      <c r="G49" s="13"/>
      <c r="H49" s="13"/>
      <c r="I49" s="13"/>
      <c r="J49" s="13"/>
      <c r="K49" s="13"/>
      <c r="L49" s="32" t="n">
        <f aca="false">SUM(C49:K49)</f>
        <v>305</v>
      </c>
    </row>
    <row r="50" customFormat="false" ht="15" hidden="false" customHeight="false" outlineLevel="0" collapsed="false">
      <c r="B50" s="12" t="s">
        <v>56</v>
      </c>
      <c r="C50" s="13"/>
      <c r="D50" s="13" t="n">
        <v>200</v>
      </c>
      <c r="E50" s="13"/>
      <c r="F50" s="13"/>
      <c r="G50" s="13"/>
      <c r="H50" s="13"/>
      <c r="I50" s="13"/>
      <c r="J50" s="13"/>
      <c r="K50" s="13"/>
      <c r="L50" s="32" t="n">
        <f aca="false">SUM(C50:K50)</f>
        <v>200</v>
      </c>
    </row>
    <row r="51" customFormat="false" ht="15" hidden="false" customHeight="false" outlineLevel="0" collapsed="false">
      <c r="B51" s="12" t="s">
        <v>57</v>
      </c>
      <c r="C51" s="13"/>
      <c r="D51" s="13"/>
      <c r="E51" s="13"/>
      <c r="F51" s="13"/>
      <c r="G51" s="13"/>
      <c r="H51" s="13"/>
      <c r="I51" s="13"/>
      <c r="J51" s="13"/>
      <c r="K51" s="13"/>
      <c r="L51" s="32" t="n">
        <f aca="false">SUM(C51:K51)</f>
        <v>0</v>
      </c>
    </row>
    <row r="52" customFormat="false" ht="15" hidden="false" customHeight="false" outlineLevel="0" collapsed="false">
      <c r="B52" s="5" t="s">
        <v>58</v>
      </c>
      <c r="C52" s="6" t="n">
        <v>225</v>
      </c>
      <c r="D52" s="6" t="n">
        <v>4040</v>
      </c>
      <c r="E52" s="6" t="n">
        <v>745</v>
      </c>
      <c r="F52" s="6" t="n">
        <v>83</v>
      </c>
      <c r="G52" s="6" t="n">
        <v>450</v>
      </c>
      <c r="H52" s="6"/>
      <c r="I52" s="6"/>
      <c r="J52" s="6"/>
      <c r="K52" s="6"/>
      <c r="L52" s="31" t="n">
        <f aca="false">SUM(C52:K52)</f>
        <v>5543</v>
      </c>
    </row>
    <row r="53" customFormat="false" ht="15" hidden="false" customHeight="false" outlineLevel="0" collapsed="false">
      <c r="B53" s="12" t="s">
        <v>59</v>
      </c>
      <c r="C53" s="13"/>
      <c r="D53" s="13" t="n">
        <v>40</v>
      </c>
      <c r="E53" s="13"/>
      <c r="F53" s="13"/>
      <c r="G53" s="13"/>
      <c r="H53" s="13"/>
      <c r="I53" s="13"/>
      <c r="J53" s="13"/>
      <c r="K53" s="13"/>
      <c r="L53" s="32" t="n">
        <f aca="false">SUM(C53:K53)</f>
        <v>40</v>
      </c>
    </row>
    <row r="54" customFormat="false" ht="15" hidden="false" customHeight="false" outlineLevel="0" collapsed="false">
      <c r="B54" s="12" t="s">
        <v>60</v>
      </c>
      <c r="C54" s="13"/>
      <c r="D54" s="13"/>
      <c r="E54" s="13" t="n">
        <v>90</v>
      </c>
      <c r="F54" s="13"/>
      <c r="G54" s="13"/>
      <c r="H54" s="13"/>
      <c r="I54" s="13"/>
      <c r="J54" s="13"/>
      <c r="K54" s="13"/>
      <c r="L54" s="32" t="n">
        <f aca="false">SUM(C54:K54)</f>
        <v>90</v>
      </c>
    </row>
    <row r="55" customFormat="false" ht="15" hidden="false" customHeight="false" outlineLevel="0" collapsed="false">
      <c r="B55" s="12" t="s">
        <v>61</v>
      </c>
      <c r="C55" s="13" t="n">
        <v>435</v>
      </c>
      <c r="D55" s="13"/>
      <c r="E55" s="13" t="n">
        <v>500</v>
      </c>
      <c r="F55" s="13" t="n">
        <v>520</v>
      </c>
      <c r="G55" s="13"/>
      <c r="H55" s="13"/>
      <c r="I55" s="13"/>
      <c r="J55" s="13" t="n">
        <v>300</v>
      </c>
      <c r="K55" s="13" t="n">
        <v>300</v>
      </c>
      <c r="L55" s="32" t="n">
        <f aca="false">SUM(C55:K55)</f>
        <v>2055</v>
      </c>
    </row>
    <row r="56" customFormat="false" ht="15" hidden="false" customHeight="false" outlineLevel="0" collapsed="false">
      <c r="B56" s="12" t="s">
        <v>62</v>
      </c>
      <c r="C56" s="13"/>
      <c r="D56" s="13"/>
      <c r="E56" s="13"/>
      <c r="F56" s="13" t="n">
        <v>33</v>
      </c>
      <c r="G56" s="13" t="n">
        <v>5</v>
      </c>
      <c r="H56" s="13"/>
      <c r="I56" s="13"/>
      <c r="J56" s="13"/>
      <c r="K56" s="13"/>
      <c r="L56" s="32" t="n">
        <f aca="false">SUM(C56:K56)</f>
        <v>38</v>
      </c>
    </row>
    <row r="57" customFormat="false" ht="15" hidden="false" customHeight="false" outlineLevel="0" collapsed="false">
      <c r="B57" s="12" t="s">
        <v>63</v>
      </c>
      <c r="C57" s="13"/>
      <c r="D57" s="13"/>
      <c r="E57" s="13"/>
      <c r="F57" s="13" t="n">
        <v>33</v>
      </c>
      <c r="G57" s="13" t="n">
        <v>5</v>
      </c>
      <c r="H57" s="13"/>
      <c r="I57" s="13"/>
      <c r="J57" s="13"/>
      <c r="K57" s="13"/>
      <c r="L57" s="32" t="n">
        <f aca="false">SUM(C57:K57)</f>
        <v>38</v>
      </c>
    </row>
    <row r="58" customFormat="false" ht="15" hidden="false" customHeight="false" outlineLevel="0" collapsed="false">
      <c r="B58" s="12" t="s">
        <v>64</v>
      </c>
      <c r="C58" s="13"/>
      <c r="D58" s="13"/>
      <c r="E58" s="13"/>
      <c r="F58" s="13"/>
      <c r="G58" s="13"/>
      <c r="H58" s="13"/>
      <c r="I58" s="13"/>
      <c r="J58" s="13"/>
      <c r="K58" s="13"/>
      <c r="L58" s="32" t="n">
        <f aca="false">SUM(C58:K58)</f>
        <v>0</v>
      </c>
    </row>
    <row r="59" customFormat="false" ht="15" hidden="false" customHeight="false" outlineLevel="0" collapsed="false">
      <c r="B59" s="12" t="s">
        <v>65</v>
      </c>
      <c r="C59" s="13"/>
      <c r="D59" s="13"/>
      <c r="E59" s="13"/>
      <c r="F59" s="13" t="n">
        <v>10</v>
      </c>
      <c r="G59" s="13"/>
      <c r="H59" s="13"/>
      <c r="I59" s="13"/>
      <c r="J59" s="13"/>
      <c r="K59" s="13"/>
      <c r="L59" s="32" t="n">
        <f aca="false">SUM(C59:K59)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2026-05-05T08:37:19Z</dcterms:created>
  <dc:creator>openpyxl</dc:creator>
  <dc:description/>
  <dc:language>en-US</dc:language>
  <cp:lastModifiedBy/>
  <dcterms:modified xsi:type="dcterms:W3CDTF">2026-05-05T08:37:19Z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