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iami Stock" sheetId="1" state="visible" r:id="rId3"/>
    <sheet name="Inbound POs" sheetId="2" state="visible" r:id="rId4"/>
    <sheet name="Shipments by Week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<sst xmlns="http://schemas.openxmlformats.org/spreadsheetml/2006/main" count="336" uniqueCount="112">
  <si>
    <t xml:space="preserve">BodyJ4You — Miami Stock</t>
  </si>
  <si>
    <t xml:space="preserve">Apr 27, 2026  |  Reorder = (Vel × Target) − OH − IB − Available Generic (keep 14d buffer)  |  FBA excluded</t>
  </si>
  <si>
    <t xml:space="preserve">component</t>
  </si>
  <si>
    <t xml:space="preserve">on_hand</t>
  </si>
  <si>
    <t xml:space="preserve">inbound_miami</t>
  </si>
  <si>
    <t xml:space="preserve">daily_velocity</t>
  </si>
  <si>
    <t xml:space="preserve">target_days</t>
  </si>
  <si>
    <t xml:space="preserve">days_covered</t>
  </si>
  <si>
    <t xml:space="preserve">reorder_qty</t>
  </si>
  <si>
    <t xml:space="preserve">unit_cost</t>
  </si>
  <si>
    <t xml:space="preserve">reorder_cost</t>
  </si>
  <si>
    <t xml:space="preserve">HS0002 Bottle</t>
  </si>
  <si>
    <t xml:space="preserve">HS0002 Box</t>
  </si>
  <si>
    <t xml:space="preserve">PB-10 Bottle</t>
  </si>
  <si>
    <t xml:space="preserve">PB-10 Box</t>
  </si>
  <si>
    <t xml:space="preserve">Jojoba Oil Bottle 0.17oz</t>
  </si>
  <si>
    <t xml:space="preserve">Jojoba Oil Bottle 1oz</t>
  </si>
  <si>
    <t xml:space="preserve">Jojoba Oil Box 1oz</t>
  </si>
  <si>
    <t xml:space="preserve">Jojoba Oil Bottle 4oz</t>
  </si>
  <si>
    <t xml:space="preserve">Jojoba Oil Box 4oz</t>
  </si>
  <si>
    <t xml:space="preserve">Rosehip Oil Bottle 1oz</t>
  </si>
  <si>
    <t xml:space="preserve">Rosehip Oil Box 1oz</t>
  </si>
  <si>
    <t xml:space="preserve">Rosehip Oil Bottle 4oz</t>
  </si>
  <si>
    <t xml:space="preserve">Rosehip Oil Box 4oz</t>
  </si>
  <si>
    <t xml:space="preserve">Castor Oil Bottle 1oz</t>
  </si>
  <si>
    <t xml:space="preserve">Castor Oil Box 1oz</t>
  </si>
  <si>
    <t xml:space="preserve">Castor Oil Bottle 4oz</t>
  </si>
  <si>
    <t xml:space="preserve">Castor Oil Box 4oz</t>
  </si>
  <si>
    <t xml:space="preserve">Castor Oil Box 2oz</t>
  </si>
  <si>
    <t xml:space="preserve">Generic Oil Bottle 1oz</t>
  </si>
  <si>
    <t xml:space="preserve">Generic Oil Bottle 2oz</t>
  </si>
  <si>
    <t xml:space="preserve">Generic Oil Bottle 4oz</t>
  </si>
  <si>
    <t xml:space="preserve">Generic Oil Box 2oz</t>
  </si>
  <si>
    <t xml:space="preserve">Generic Oil Box 4oz</t>
  </si>
  <si>
    <t xml:space="preserve">Tea Tree Oil Box 2oz</t>
  </si>
  <si>
    <t xml:space="preserve">Generic Oil Bottle 16oz with Pump</t>
  </si>
  <si>
    <t xml:space="preserve">Pump for 16oz Bottle</t>
  </si>
  <si>
    <t xml:space="preserve">Metal Tin 0.35oz</t>
  </si>
  <si>
    <t xml:space="preserve">Lavender Roller Bottle 10ml</t>
  </si>
  <si>
    <t xml:space="preserve">Lavender Roller Box 10ml</t>
  </si>
  <si>
    <t xml:space="preserve">Rosemary Roller Bottle 10ml</t>
  </si>
  <si>
    <t xml:space="preserve">Rosemary Roller Box 10ml</t>
  </si>
  <si>
    <t xml:space="preserve">Tea Tree Roller Bottle 10ml</t>
  </si>
  <si>
    <t xml:space="preserve">Tea Tree Roller Box 10ml</t>
  </si>
  <si>
    <t xml:space="preserve">Frankincense Roller Bottle 10ml</t>
  </si>
  <si>
    <t xml:space="preserve">Frankincense Roller Box 10ml</t>
  </si>
  <si>
    <t xml:space="preserve">Frank+Castor Roller Bottle 10ml</t>
  </si>
  <si>
    <t xml:space="preserve">Frank+Castor Roller Box 10ml</t>
  </si>
  <si>
    <t xml:space="preserve">Eucalyptus Roller Bottle 10ml</t>
  </si>
  <si>
    <t xml:space="preserve">Eucalyptus Roller Box 10ml</t>
  </si>
  <si>
    <t xml:space="preserve">Lemon Roller Bottle 10ml</t>
  </si>
  <si>
    <t xml:space="preserve">Lemon Roller Box 10ml</t>
  </si>
  <si>
    <t xml:space="preserve">Peppermint Roller Bottle 10ml</t>
  </si>
  <si>
    <t xml:space="preserve">Peppermint Roller Box 10ml</t>
  </si>
  <si>
    <t xml:space="preserve">Roller Bottle 1.7oz</t>
  </si>
  <si>
    <t xml:space="preserve">Stone Roller Rose Quartz 1.7oz</t>
  </si>
  <si>
    <t xml:space="preserve">Stone Roller Tiger Eye 1.7oz</t>
  </si>
  <si>
    <t xml:space="preserve">Beard Oil Box 1.7oz</t>
  </si>
  <si>
    <t xml:space="preserve">Lash Brush</t>
  </si>
  <si>
    <t xml:space="preserve">Mascara Tubes</t>
  </si>
  <si>
    <t xml:space="preserve">Derma Razor</t>
  </si>
  <si>
    <t xml:space="preserve">Piercing Hole Floss Sticks 60pc</t>
  </si>
  <si>
    <t xml:space="preserve">Castor Oil Patch Box 4oz</t>
  </si>
  <si>
    <t xml:space="preserve">32PC Patch Set</t>
  </si>
  <si>
    <t xml:space="preserve">Roller Set 3PC Box</t>
  </si>
  <si>
    <t xml:space="preserve">Roller Set 6PC Box</t>
  </si>
  <si>
    <t xml:space="preserve">TOTAL REORDER COST</t>
  </si>
  <si>
    <t xml:space="preserve">BodyJ4You — Inbound Purchase Orders</t>
  </si>
  <si>
    <t xml:space="preserve">All POs from Bony — received, in transit, and on order  ·  Apr 27, 2026</t>
  </si>
  <si>
    <t xml:space="preserve">PO Name</t>
  </si>
  <si>
    <t xml:space="preserve">Shipped</t>
  </si>
  <si>
    <t xml:space="preserve">Arrived / ETA</t>
  </si>
  <si>
    <t xml:space="preserve">Freight</t>
  </si>
  <si>
    <t xml:space="preserve">Component</t>
  </si>
  <si>
    <t xml:space="preserve">Qty</t>
  </si>
  <si>
    <t xml:space="preserve">Unit Cost</t>
  </si>
  <si>
    <t xml:space="preserve">Line Total</t>
  </si>
  <si>
    <t xml:space="preserve">Apr 24 NEW Ocean</t>
  </si>
  <si>
    <t xml:space="preserve">Apr 24, 2026</t>
  </si>
  <si>
    <t xml:space="preserve">Not yet shipped</t>
  </si>
  <si>
    <t xml:space="preserve">Ocean</t>
  </si>
  <si>
    <t xml:space="preserve">● ON ORDER (China)</t>
  </si>
  <si>
    <t xml:space="preserve">Apr 22 Miami (Air)</t>
  </si>
  <si>
    <t xml:space="preserve">Apr 22, 2026</t>
  </si>
  <si>
    <t xml:space="preserve">~Apr 28, 2026</t>
  </si>
  <si>
    <t xml:space="preserve">Air</t>
  </si>
  <si>
    <t xml:space="preserve">● INBOUND</t>
  </si>
  <si>
    <t xml:space="preserve">Apr 20 Miami (Air)</t>
  </si>
  <si>
    <t xml:space="preserve">Apr 20, 2026</t>
  </si>
  <si>
    <t xml:space="preserve">~Apr 27, 2026</t>
  </si>
  <si>
    <t xml:space="preserve">Apr 4 Ocean</t>
  </si>
  <si>
    <t xml:space="preserve">Apr 4, 2026</t>
  </si>
  <si>
    <t xml:space="preserve">~May 4, 2026</t>
  </si>
  <si>
    <t xml:space="preserve">Mar 26 Ocean</t>
  </si>
  <si>
    <t xml:space="preserve">Mar 26, 2026</t>
  </si>
  <si>
    <t xml:space="preserve">Apr 25, 2026</t>
  </si>
  <si>
    <t xml:space="preserve">● RECEIVED</t>
  </si>
  <si>
    <t xml:space="preserve">Mar 21 Ocean</t>
  </si>
  <si>
    <t xml:space="preserve">Mar 21, 2026</t>
  </si>
  <si>
    <t xml:space="preserve">TOTAL ALL POs</t>
  </si>
  <si>
    <t xml:space="preserve">BodyJ4You — Component Shipments by Week (Miami → FBA)</t>
  </si>
  <si>
    <t xml:space="preserve">Units shipped per week per component  ·  Includes FBA + Walmart  ·  Through Apr 27, 2026</t>
  </si>
  <si>
    <t xml:space="preserve">Mar 2 – Mar 9</t>
  </si>
  <si>
    <t xml:space="preserve">Mar 13 – Mar 20</t>
  </si>
  <si>
    <t xml:space="preserve">Mar 23 – Mar 29</t>
  </si>
  <si>
    <t xml:space="preserve">Mar 30 – Apr 5</t>
  </si>
  <si>
    <t xml:space="preserve">Apr 6 – Apr 13</t>
  </si>
  <si>
    <t xml:space="preserve">Apr 13 – Apr 15</t>
  </si>
  <si>
    <t xml:space="preserve">Apr 16 – Apr 20</t>
  </si>
  <si>
    <t xml:space="preserve">Apr 20 – Apr 27</t>
  </si>
  <si>
    <t xml:space="preserve">TOTAL</t>
  </si>
  <si>
    <t xml:space="preserve">TOTAL COMPONENTS SHIPPED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</si>
</sst>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"/>
    <numFmt numFmtId="167" formatCode="\$#,##0.000"/>
    <numFmt numFmtId="168" formatCode="\$#,##0.00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9CA3A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F2937"/>
      <name val="Arial"/>
      <family val="0"/>
      <charset val="1"/>
    </font>
    <font>
      <sz val="10"/>
      <color rgb="FF166534"/>
      <name val="Arial"/>
      <family val="0"/>
      <charset val="1"/>
    </font>
    <font>
      <sz val="10"/>
      <color rgb="FF1565C0"/>
      <name val="Arial"/>
      <family val="0"/>
      <charset val="1"/>
    </font>
    <font>
      <sz val="10"/>
      <color rgb="FF374151"/>
      <name val="Arial"/>
      <family val="0"/>
      <charset val="1"/>
    </font>
    <font>
      <b val="true"/>
      <sz val="10"/>
      <color rgb="FF92400E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sz val="10"/>
      <color rgb="FF92400E"/>
      <name val="Arial"/>
      <family val="0"/>
      <charset val="1"/>
    </font>
    <font>
      <sz val="10"/>
      <color rgb="FF9CA3AF"/>
      <name val="Arial"/>
      <family val="0"/>
      <charset val="1"/>
    </font>
    <font>
      <b val="true"/>
      <sz val="10"/>
      <color rgb="FF9CA3A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D1D5DB"/>
      <name val="Arial"/>
      <family val="0"/>
      <charset val="1"/>
    </font>
    <font>
      <b val="true"/>
      <sz val="10"/>
      <color rgb="FF166534"/>
      <name val="Arial"/>
      <family val="0"/>
      <charset val="1"/>
    </font>
    <font>
      <sz val="10"/>
      <color rgb="FFD1D5DB"/>
      <name val="Arial"/>
      <family val="0"/>
      <charset val="1"/>
    </font>
    <font>
      <b val="true"/>
      <sz val="10"/>
      <color rgb="FF111827"/>
      <name val="Arial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11827"/>
        <bgColor rgb="FF1F2937"/>
      </patternFill>
    </fill>
    <fill>
      <patternFill patternType="solid">
        <fgColor rgb="FF1F2937"/>
        <bgColor rgb="FF111827"/>
      </patternFill>
    </fill>
    <fill>
      <patternFill patternType="solid">
        <fgColor rgb="FF166534"/>
        <bgColor rgb="FF374151"/>
      </patternFill>
    </fill>
    <fill>
      <patternFill patternType="solid">
        <fgColor rgb="FF1565C0"/>
        <bgColor rgb="FF008080"/>
      </patternFill>
    </fill>
    <fill>
      <patternFill patternType="solid">
        <fgColor rgb="FF374151"/>
        <bgColor rgb="FF1F2937"/>
      </patternFill>
    </fill>
    <fill>
      <patternFill patternType="solid">
        <fgColor rgb="FF92400E"/>
        <bgColor rgb="FF993366"/>
      </patternFill>
    </fill>
    <fill>
      <patternFill patternType="solid">
        <fgColor rgb="FFDC2626"/>
        <bgColor rgb="FF993366"/>
      </patternFill>
    </fill>
    <fill>
      <patternFill patternType="solid">
        <fgColor rgb="FFFFFBEB"/>
        <bgColor rgb="FFFFF7ED"/>
      </patternFill>
    </fill>
    <fill>
      <patternFill patternType="solid">
        <fgColor rgb="FFFEF2F2"/>
        <bgColor rgb="FFFFF7ED"/>
      </patternFill>
    </fill>
    <fill>
      <patternFill patternType="solid">
        <fgColor rgb="FFFAFAFA"/>
        <bgColor rgb="FFFFFFFF"/>
      </patternFill>
    </fill>
    <fill>
      <patternFill patternType="solid">
        <fgColor rgb="FFFFFFFF"/>
        <bgColor rgb="FFFAFAFA"/>
      </patternFill>
    </fill>
    <fill>
      <patternFill patternType="solid">
        <fgColor rgb="FFFFF7ED"/>
        <bgColor rgb="FFFFFBEB"/>
      </patternFill>
    </fill>
    <fill>
      <patternFill patternType="solid">
        <fgColor rgb="FF6366F1"/>
        <bgColor rgb="FF66669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medium">
        <color rgb="FF374151"/>
      </top>
      <bottom style="thin">
        <color rgb="FFE5E7EB"/>
      </bottom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3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9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5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3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4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5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8" fontId="1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0" fillId="1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1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1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1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0" fillId="11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2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1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5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4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6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2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5" fontId="1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C2626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BEB"/>
      <rgbColor rgb="FFE5E7EB"/>
      <rgbColor rgb="FF660066"/>
      <rgbColor rgb="FFFF8080"/>
      <rgbColor rgb="FF1565C0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AFAFA"/>
      <rgbColor rgb="FFFEF2F2"/>
      <rgbColor rgb="FFFFF7ED"/>
      <rgbColor rgb="FF99CCFF"/>
      <rgbColor rgb="FFFF99CC"/>
      <rgbColor rgb="FFCC99FF"/>
      <rgbColor rgb="FFFFCC99"/>
      <rgbColor rgb="FF6366F1"/>
      <rgbColor rgb="FF33CCCC"/>
      <rgbColor rgb="FF99CC00"/>
      <rgbColor rgb="FFFFCC00"/>
      <rgbColor rgb="FFFF9900"/>
      <rgbColor rgb="FFFF6600"/>
      <rgbColor rgb="FF666699"/>
      <rgbColor rgb="FF9CA3AF"/>
      <rgbColor rgb="FF003366"/>
      <rgbColor rgb="FF339966"/>
      <rgbColor rgb="FF111827"/>
      <rgbColor rgb="FF333300"/>
      <rgbColor rgb="FF92400E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6"/>
    <col collapsed="false" customWidth="true" hidden="false" outlineLevel="0" max="4" min="3" style="0" width="14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2"/>
    <col collapsed="false" customWidth="true" hidden="false" outlineLevel="0" max="9" min="9" style="0" width="11"/>
    <col collapsed="false" customWidth="true" hidden="false" outlineLevel="0" max="10" min="10" style="0" width="13"/>
  </cols>
  <sheetData>
    <row r="1" customFormat="false" ht="36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</row>
    <row r="2" customFormat="false" ht="18" hidden="false" customHeight="true" outlineLevel="0" collapsed="false">
      <c r="A2" s="3"/>
      <c r="B2" s="4" t="s">
        <v>1</v>
      </c>
      <c r="C2" s="4"/>
      <c r="D2" s="4"/>
      <c r="E2" s="4"/>
      <c r="F2" s="4"/>
      <c r="G2" s="4"/>
      <c r="H2" s="4"/>
      <c r="I2" s="4"/>
      <c r="J2" s="4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2</v>
      </c>
      <c r="C4" s="6" t="s">
        <v>3</v>
      </c>
      <c r="D4" s="7" t="s">
        <v>4</v>
      </c>
      <c r="E4" s="8" t="s">
        <v>5</v>
      </c>
      <c r="F4" s="8" t="s">
        <v>6</v>
      </c>
      <c r="G4" s="9" t="s">
        <v>7</v>
      </c>
      <c r="H4" s="10" t="s">
        <v>8</v>
      </c>
      <c r="I4" s="9" t="s">
        <v>9</v>
      </c>
      <c r="J4" s="10" t="s">
        <v>10</v>
      </c>
    </row>
    <row r="5" customFormat="false" ht="18.75" hidden="false" customHeight="true" outlineLevel="0" collapsed="false">
      <c r="A5" s="11"/>
      <c r="B5" s="12" t="s">
        <v>11</v>
      </c>
      <c r="C5" s="13" t="n">
        <v>54708</v>
      </c>
      <c r="D5" s="14" t="n">
        <v>30000</v>
      </c>
      <c r="E5" s="15" t="n">
        <v>709.4</v>
      </c>
      <c r="F5" s="16" t="n">
        <v>120</v>
      </c>
      <c r="G5" s="17" t="n">
        <v>119</v>
      </c>
      <c r="H5" s="18" t="n">
        <v>420</v>
      </c>
      <c r="I5" s="19" t="n">
        <v>0.12</v>
      </c>
      <c r="J5" s="20" t="n">
        <v>50.4</v>
      </c>
    </row>
    <row r="6" customFormat="false" ht="18.75" hidden="false" customHeight="true" outlineLevel="0" collapsed="false">
      <c r="A6" s="11"/>
      <c r="B6" s="21" t="s">
        <v>12</v>
      </c>
      <c r="C6" s="22" t="n">
        <v>27568</v>
      </c>
      <c r="D6" s="23" t="n">
        <v>20000</v>
      </c>
      <c r="E6" s="24" t="n">
        <v>548.3</v>
      </c>
      <c r="F6" s="25" t="n">
        <v>120</v>
      </c>
      <c r="G6" s="26" t="n">
        <v>87</v>
      </c>
      <c r="H6" s="27" t="n">
        <v>18228</v>
      </c>
      <c r="I6" s="28" t="n">
        <v>0.08</v>
      </c>
      <c r="J6" s="29" t="n">
        <v>1458.24</v>
      </c>
    </row>
    <row r="7" customFormat="false" ht="18.75" hidden="false" customHeight="true" outlineLevel="0" collapsed="false">
      <c r="A7" s="30"/>
      <c r="B7" s="31" t="s">
        <v>13</v>
      </c>
      <c r="C7" s="32" t="n">
        <v>4610</v>
      </c>
      <c r="D7" s="33"/>
      <c r="E7" s="34" t="n">
        <v>173.8</v>
      </c>
      <c r="F7" s="35" t="n">
        <v>30</v>
      </c>
      <c r="G7" s="36" t="n">
        <v>27</v>
      </c>
      <c r="H7" s="37" t="n">
        <v>604</v>
      </c>
      <c r="I7" s="38" t="n">
        <v>0.12</v>
      </c>
      <c r="J7" s="39" t="n">
        <v>72.48</v>
      </c>
    </row>
    <row r="8" customFormat="false" ht="18.75" hidden="false" customHeight="true" outlineLevel="0" collapsed="false">
      <c r="A8" s="30"/>
      <c r="B8" s="40" t="s">
        <v>14</v>
      </c>
      <c r="C8" s="41" t="n">
        <v>1750</v>
      </c>
      <c r="D8" s="42"/>
      <c r="E8" s="43" t="n">
        <v>105.2</v>
      </c>
      <c r="F8" s="44" t="n">
        <v>120</v>
      </c>
      <c r="G8" s="45" t="n">
        <v>17</v>
      </c>
      <c r="H8" s="46" t="n">
        <v>10874</v>
      </c>
      <c r="I8" s="47" t="n">
        <v>0.06</v>
      </c>
      <c r="J8" s="48" t="n">
        <v>652.44</v>
      </c>
    </row>
    <row r="9" customFormat="false" ht="18.75" hidden="false" customHeight="true" outlineLevel="0" collapsed="false">
      <c r="A9" s="49"/>
      <c r="B9" s="50" t="s">
        <v>15</v>
      </c>
      <c r="C9" s="51" t="n">
        <v>6220</v>
      </c>
      <c r="D9" s="52" t="n">
        <v>11475</v>
      </c>
      <c r="E9" s="53" t="n">
        <v>116</v>
      </c>
      <c r="F9" s="54" t="n">
        <v>120</v>
      </c>
      <c r="G9" s="55" t="n">
        <v>153</v>
      </c>
      <c r="H9" s="56"/>
      <c r="I9" s="57" t="n">
        <v>0.09</v>
      </c>
      <c r="J9" s="58"/>
    </row>
    <row r="10" customFormat="false" ht="18.75" hidden="false" customHeight="true" outlineLevel="0" collapsed="false">
      <c r="A10" s="11"/>
      <c r="B10" s="21" t="s">
        <v>16</v>
      </c>
      <c r="C10" s="22"/>
      <c r="D10" s="23" t="n">
        <v>4950</v>
      </c>
      <c r="E10" s="24" t="n">
        <v>103.2</v>
      </c>
      <c r="F10" s="25" t="n">
        <v>120</v>
      </c>
      <c r="G10" s="26" t="n">
        <v>106</v>
      </c>
      <c r="H10" s="27" t="n">
        <v>1401</v>
      </c>
      <c r="I10" s="28" t="n">
        <v>0.15</v>
      </c>
      <c r="J10" s="29" t="n">
        <v>210.15</v>
      </c>
    </row>
    <row r="11" customFormat="false" ht="18.75" hidden="false" customHeight="true" outlineLevel="0" collapsed="false">
      <c r="A11" s="59"/>
      <c r="B11" s="60" t="s">
        <v>17</v>
      </c>
      <c r="C11" s="61" t="n">
        <v>8445</v>
      </c>
      <c r="D11" s="62" t="n">
        <v>9900</v>
      </c>
      <c r="E11" s="63" t="n">
        <v>103.2</v>
      </c>
      <c r="F11" s="64" t="n">
        <v>120</v>
      </c>
      <c r="G11" s="65" t="n">
        <v>178</v>
      </c>
      <c r="H11" s="66"/>
      <c r="I11" s="67" t="n">
        <v>0.08</v>
      </c>
      <c r="J11" s="68"/>
    </row>
    <row r="12" customFormat="false" ht="18.75" hidden="false" customHeight="true" outlineLevel="0" collapsed="false">
      <c r="A12" s="49"/>
      <c r="B12" s="69" t="s">
        <v>18</v>
      </c>
      <c r="C12" s="70" t="n">
        <v>570</v>
      </c>
      <c r="D12" s="71" t="n">
        <v>1920</v>
      </c>
      <c r="E12" s="72" t="n">
        <v>7.5</v>
      </c>
      <c r="F12" s="73" t="n">
        <v>120</v>
      </c>
      <c r="G12" s="74" t="n">
        <v>505</v>
      </c>
      <c r="H12" s="75"/>
      <c r="I12" s="76" t="n">
        <v>0.19</v>
      </c>
      <c r="J12" s="77"/>
    </row>
    <row r="13" customFormat="false" ht="18.75" hidden="false" customHeight="true" outlineLevel="0" collapsed="false">
      <c r="A13" s="11"/>
      <c r="B13" s="21" t="s">
        <v>19</v>
      </c>
      <c r="C13" s="22" t="n">
        <v>600</v>
      </c>
      <c r="D13" s="78"/>
      <c r="E13" s="24" t="n">
        <v>5.8</v>
      </c>
      <c r="F13" s="25" t="n">
        <v>120</v>
      </c>
      <c r="G13" s="26" t="n">
        <v>103</v>
      </c>
      <c r="H13" s="27" t="n">
        <v>96</v>
      </c>
      <c r="I13" s="28" t="n">
        <v>0.12</v>
      </c>
      <c r="J13" s="29" t="n">
        <v>11.52</v>
      </c>
    </row>
    <row r="14" customFormat="false" ht="18.75" hidden="false" customHeight="true" outlineLevel="0" collapsed="false">
      <c r="A14" s="59"/>
      <c r="B14" s="79" t="s">
        <v>20</v>
      </c>
      <c r="C14" s="80"/>
      <c r="D14" s="81" t="n">
        <v>9900</v>
      </c>
      <c r="E14" s="82" t="n">
        <v>122</v>
      </c>
      <c r="F14" s="83" t="n">
        <v>120</v>
      </c>
      <c r="G14" s="84" t="n">
        <v>140</v>
      </c>
      <c r="H14" s="85"/>
      <c r="I14" s="86" t="n">
        <v>0.15</v>
      </c>
      <c r="J14" s="87"/>
    </row>
    <row r="15" customFormat="false" ht="18.75" hidden="false" customHeight="true" outlineLevel="0" collapsed="false">
      <c r="A15" s="49"/>
      <c r="B15" s="69" t="s">
        <v>21</v>
      </c>
      <c r="C15" s="70" t="n">
        <v>9740</v>
      </c>
      <c r="D15" s="71" t="n">
        <v>9900</v>
      </c>
      <c r="E15" s="72" t="n">
        <v>122</v>
      </c>
      <c r="F15" s="73" t="n">
        <v>120</v>
      </c>
      <c r="G15" s="74" t="n">
        <v>161</v>
      </c>
      <c r="H15" s="75"/>
      <c r="I15" s="76" t="n">
        <v>0.08</v>
      </c>
      <c r="J15" s="77"/>
    </row>
    <row r="16" customFormat="false" ht="18.75" hidden="false" customHeight="true" outlineLevel="0" collapsed="false">
      <c r="A16" s="59"/>
      <c r="B16" s="60" t="s">
        <v>22</v>
      </c>
      <c r="C16" s="61" t="n">
        <v>840</v>
      </c>
      <c r="D16" s="62" t="n">
        <v>1920</v>
      </c>
      <c r="E16" s="63" t="n">
        <v>7.8</v>
      </c>
      <c r="F16" s="64" t="n">
        <v>120</v>
      </c>
      <c r="G16" s="65" t="n">
        <v>527</v>
      </c>
      <c r="H16" s="66"/>
      <c r="I16" s="67" t="n">
        <v>0.19</v>
      </c>
      <c r="J16" s="68"/>
    </row>
    <row r="17" customFormat="false" ht="18.75" hidden="false" customHeight="true" outlineLevel="0" collapsed="false">
      <c r="A17" s="49"/>
      <c r="B17" s="69" t="s">
        <v>23</v>
      </c>
      <c r="C17" s="70" t="n">
        <v>700</v>
      </c>
      <c r="D17" s="71" t="n">
        <v>1920</v>
      </c>
      <c r="E17" s="72" t="n">
        <v>7.8</v>
      </c>
      <c r="F17" s="73" t="n">
        <v>120</v>
      </c>
      <c r="G17" s="74" t="n">
        <v>336</v>
      </c>
      <c r="H17" s="75"/>
      <c r="I17" s="76" t="n">
        <v>0.12</v>
      </c>
      <c r="J17" s="77"/>
    </row>
    <row r="18" customFormat="false" ht="18.75" hidden="false" customHeight="true" outlineLevel="0" collapsed="false">
      <c r="A18" s="59"/>
      <c r="B18" s="79" t="s">
        <v>24</v>
      </c>
      <c r="C18" s="80"/>
      <c r="D18" s="81" t="n">
        <v>9900</v>
      </c>
      <c r="E18" s="82" t="n">
        <v>41.7</v>
      </c>
      <c r="F18" s="83" t="n">
        <v>120</v>
      </c>
      <c r="G18" s="84" t="n">
        <v>296</v>
      </c>
      <c r="H18" s="85"/>
      <c r="I18" s="86" t="n">
        <v>0.15</v>
      </c>
      <c r="J18" s="87"/>
    </row>
    <row r="19" customFormat="false" ht="18.75" hidden="false" customHeight="true" outlineLevel="0" collapsed="false">
      <c r="A19" s="49"/>
      <c r="B19" s="69" t="s">
        <v>25</v>
      </c>
      <c r="C19" s="70" t="n">
        <v>4350</v>
      </c>
      <c r="D19" s="71" t="n">
        <v>4950</v>
      </c>
      <c r="E19" s="72" t="n">
        <v>41.7</v>
      </c>
      <c r="F19" s="73" t="n">
        <v>120</v>
      </c>
      <c r="G19" s="74" t="n">
        <v>223</v>
      </c>
      <c r="H19" s="75"/>
      <c r="I19" s="76" t="n">
        <v>0.12</v>
      </c>
      <c r="J19" s="77"/>
    </row>
    <row r="20" customFormat="false" ht="18.75" hidden="false" customHeight="true" outlineLevel="0" collapsed="false">
      <c r="A20" s="59"/>
      <c r="B20" s="60" t="s">
        <v>26</v>
      </c>
      <c r="C20" s="61"/>
      <c r="D20" s="88"/>
      <c r="E20" s="63" t="n">
        <v>48.6</v>
      </c>
      <c r="F20" s="64" t="n">
        <v>120</v>
      </c>
      <c r="G20" s="65" t="n">
        <v>173</v>
      </c>
      <c r="H20" s="66"/>
      <c r="I20" s="67" t="n">
        <v>0.16</v>
      </c>
      <c r="J20" s="68"/>
    </row>
    <row r="21" customFormat="false" ht="18.75" hidden="false" customHeight="true" outlineLevel="0" collapsed="false">
      <c r="A21" s="49"/>
      <c r="B21" s="69" t="s">
        <v>27</v>
      </c>
      <c r="C21" s="70" t="n">
        <v>4910</v>
      </c>
      <c r="D21" s="71" t="n">
        <v>1920</v>
      </c>
      <c r="E21" s="72" t="n">
        <v>46.9</v>
      </c>
      <c r="F21" s="73" t="n">
        <v>120</v>
      </c>
      <c r="G21" s="74" t="n">
        <v>146</v>
      </c>
      <c r="H21" s="75"/>
      <c r="I21" s="76" t="n">
        <v>0.12</v>
      </c>
      <c r="J21" s="77"/>
    </row>
    <row r="22" customFormat="false" ht="18.75" hidden="false" customHeight="true" outlineLevel="0" collapsed="false">
      <c r="A22" s="59"/>
      <c r="B22" s="60" t="s">
        <v>28</v>
      </c>
      <c r="C22" s="61" t="n">
        <v>1960</v>
      </c>
      <c r="D22" s="88"/>
      <c r="E22" s="63" t="n">
        <v>4.2</v>
      </c>
      <c r="F22" s="64" t="n">
        <v>120</v>
      </c>
      <c r="G22" s="65" t="n">
        <v>467</v>
      </c>
      <c r="H22" s="66"/>
      <c r="I22" s="67" t="n">
        <v>0.12</v>
      </c>
      <c r="J22" s="68"/>
    </row>
    <row r="23" customFormat="false" ht="18.75" hidden="false" customHeight="true" outlineLevel="0" collapsed="false">
      <c r="A23" s="49"/>
      <c r="B23" s="50" t="s">
        <v>29</v>
      </c>
      <c r="C23" s="51" t="n">
        <v>19340</v>
      </c>
      <c r="D23" s="89"/>
      <c r="E23" s="53" t="n">
        <v>1.8</v>
      </c>
      <c r="F23" s="54" t="n">
        <v>120</v>
      </c>
      <c r="G23" s="55" t="n">
        <v>10744</v>
      </c>
      <c r="H23" s="56"/>
      <c r="I23" s="57" t="n">
        <v>0.12</v>
      </c>
      <c r="J23" s="58"/>
    </row>
    <row r="24" customFormat="false" ht="18.75" hidden="false" customHeight="true" outlineLevel="0" collapsed="false">
      <c r="A24" s="59"/>
      <c r="B24" s="60" t="s">
        <v>30</v>
      </c>
      <c r="C24" s="61" t="n">
        <v>10761</v>
      </c>
      <c r="D24" s="62" t="n">
        <v>6000</v>
      </c>
      <c r="E24" s="63" t="n">
        <v>55.8</v>
      </c>
      <c r="F24" s="64" t="n">
        <v>120</v>
      </c>
      <c r="G24" s="65" t="n">
        <v>300</v>
      </c>
      <c r="H24" s="66"/>
      <c r="I24" s="67" t="n">
        <v>0.13</v>
      </c>
      <c r="J24" s="68"/>
    </row>
    <row r="25" customFormat="false" ht="18.75" hidden="false" customHeight="true" outlineLevel="0" collapsed="false">
      <c r="A25" s="49"/>
      <c r="B25" s="69" t="s">
        <v>31</v>
      </c>
      <c r="C25" s="70" t="n">
        <v>11950</v>
      </c>
      <c r="D25" s="90"/>
      <c r="E25" s="72" t="n">
        <v>3.2</v>
      </c>
      <c r="F25" s="73" t="n">
        <v>120</v>
      </c>
      <c r="G25" s="74" t="n">
        <v>3734</v>
      </c>
      <c r="H25" s="75"/>
      <c r="I25" s="76" t="n">
        <v>0.16</v>
      </c>
      <c r="J25" s="77"/>
    </row>
    <row r="26" customFormat="false" ht="18.75" hidden="false" customHeight="true" outlineLevel="0" collapsed="false">
      <c r="A26" s="49"/>
      <c r="B26" s="69" t="s">
        <v>32</v>
      </c>
      <c r="C26" s="70"/>
      <c r="D26" s="71" t="n">
        <v>3000</v>
      </c>
      <c r="E26" s="72"/>
      <c r="F26" s="73" t="n">
        <v>120</v>
      </c>
      <c r="G26" s="75"/>
      <c r="H26" s="75"/>
      <c r="I26" s="76" t="n">
        <v>0.09</v>
      </c>
      <c r="J26" s="77"/>
    </row>
    <row r="27" customFormat="false" ht="18.75" hidden="false" customHeight="true" outlineLevel="0" collapsed="false">
      <c r="A27" s="49"/>
      <c r="B27" s="69" t="s">
        <v>33</v>
      </c>
      <c r="C27" s="70"/>
      <c r="D27" s="71" t="n">
        <v>3000</v>
      </c>
      <c r="E27" s="72"/>
      <c r="F27" s="73" t="n">
        <v>120</v>
      </c>
      <c r="G27" s="75"/>
      <c r="H27" s="75"/>
      <c r="I27" s="76" t="n">
        <v>0.12</v>
      </c>
      <c r="J27" s="77"/>
    </row>
    <row r="28" customFormat="false" ht="18.75" hidden="false" customHeight="true" outlineLevel="0" collapsed="false">
      <c r="A28" s="49"/>
      <c r="B28" s="69" t="s">
        <v>34</v>
      </c>
      <c r="C28" s="70"/>
      <c r="D28" s="71" t="n">
        <v>6000</v>
      </c>
      <c r="E28" s="72"/>
      <c r="F28" s="73" t="n">
        <v>120</v>
      </c>
      <c r="G28" s="75"/>
      <c r="H28" s="75"/>
      <c r="I28" s="76" t="n">
        <v>0.09</v>
      </c>
      <c r="J28" s="77"/>
    </row>
    <row r="29" customFormat="false" ht="18.75" hidden="false" customHeight="true" outlineLevel="0" collapsed="false">
      <c r="A29" s="59"/>
      <c r="B29" s="79" t="s">
        <v>35</v>
      </c>
      <c r="C29" s="80" t="n">
        <v>1305</v>
      </c>
      <c r="D29" s="91"/>
      <c r="E29" s="82" t="n">
        <v>7.4</v>
      </c>
      <c r="F29" s="83" t="n">
        <v>120</v>
      </c>
      <c r="G29" s="84" t="n">
        <v>176</v>
      </c>
      <c r="H29" s="85"/>
      <c r="I29" s="86" t="n">
        <v>0.425</v>
      </c>
      <c r="J29" s="87"/>
    </row>
    <row r="30" customFormat="false" ht="18.75" hidden="false" customHeight="true" outlineLevel="0" collapsed="false">
      <c r="A30" s="92"/>
      <c r="B30" s="93" t="s">
        <v>36</v>
      </c>
      <c r="C30" s="94" t="n">
        <v>225</v>
      </c>
      <c r="D30" s="95"/>
      <c r="E30" s="96" t="n">
        <v>7.4</v>
      </c>
      <c r="F30" s="97" t="n">
        <v>120</v>
      </c>
      <c r="G30" s="98" t="n">
        <v>30</v>
      </c>
      <c r="H30" s="99" t="n">
        <v>663</v>
      </c>
      <c r="I30" s="100" t="n">
        <v>0.115</v>
      </c>
      <c r="J30" s="101" t="n">
        <v>76.245</v>
      </c>
    </row>
    <row r="31" customFormat="false" ht="18.75" hidden="false" customHeight="true" outlineLevel="0" collapsed="false">
      <c r="A31" s="30"/>
      <c r="B31" s="31" t="s">
        <v>37</v>
      </c>
      <c r="C31" s="32"/>
      <c r="D31" s="102" t="n">
        <v>960</v>
      </c>
      <c r="E31" s="34" t="n">
        <v>36</v>
      </c>
      <c r="F31" s="35" t="n">
        <v>120</v>
      </c>
      <c r="G31" s="36" t="n">
        <v>27</v>
      </c>
      <c r="H31" s="37" t="n">
        <v>3360</v>
      </c>
      <c r="I31" s="38" t="n">
        <v>0.21</v>
      </c>
      <c r="J31" s="39" t="n">
        <v>705.6</v>
      </c>
    </row>
    <row r="32" customFormat="false" ht="18.75" hidden="false" customHeight="true" outlineLevel="0" collapsed="false">
      <c r="A32" s="49"/>
      <c r="B32" s="50" t="s">
        <v>38</v>
      </c>
      <c r="C32" s="51" t="n">
        <v>1190</v>
      </c>
      <c r="D32" s="89"/>
      <c r="E32" s="53" t="n">
        <v>7.3</v>
      </c>
      <c r="F32" s="54" t="n">
        <v>120</v>
      </c>
      <c r="G32" s="55" t="n">
        <v>163</v>
      </c>
      <c r="H32" s="56"/>
      <c r="I32" s="57" t="n">
        <v>0.27</v>
      </c>
      <c r="J32" s="58"/>
    </row>
    <row r="33" customFormat="false" ht="18.75" hidden="false" customHeight="true" outlineLevel="0" collapsed="false">
      <c r="A33" s="59"/>
      <c r="B33" s="60" t="s">
        <v>39</v>
      </c>
      <c r="C33" s="61" t="n">
        <v>1000</v>
      </c>
      <c r="D33" s="88"/>
      <c r="E33" s="63" t="n">
        <v>6.9</v>
      </c>
      <c r="F33" s="64" t="n">
        <v>120</v>
      </c>
      <c r="G33" s="65" t="n">
        <v>145</v>
      </c>
      <c r="H33" s="66"/>
      <c r="I33" s="67" t="n">
        <v>0.06</v>
      </c>
      <c r="J33" s="68"/>
    </row>
    <row r="34" customFormat="false" ht="18.75" hidden="false" customHeight="true" outlineLevel="0" collapsed="false">
      <c r="A34" s="49"/>
      <c r="B34" s="69" t="s">
        <v>40</v>
      </c>
      <c r="C34" s="70" t="n">
        <v>1190</v>
      </c>
      <c r="D34" s="90"/>
      <c r="E34" s="72" t="n">
        <v>2.1</v>
      </c>
      <c r="F34" s="73" t="n">
        <v>120</v>
      </c>
      <c r="G34" s="74" t="n">
        <v>567</v>
      </c>
      <c r="H34" s="75"/>
      <c r="I34" s="76" t="n">
        <v>0.27</v>
      </c>
      <c r="J34" s="77"/>
    </row>
    <row r="35" customFormat="false" ht="18.75" hidden="false" customHeight="true" outlineLevel="0" collapsed="false">
      <c r="A35" s="30"/>
      <c r="B35" s="40" t="s">
        <v>41</v>
      </c>
      <c r="C35" s="41"/>
      <c r="D35" s="42"/>
      <c r="E35" s="43" t="n">
        <v>1.8</v>
      </c>
      <c r="F35" s="44" t="n">
        <v>120</v>
      </c>
      <c r="G35" s="103"/>
      <c r="H35" s="46" t="n">
        <v>216</v>
      </c>
      <c r="I35" s="47" t="n">
        <v>0.06</v>
      </c>
      <c r="J35" s="48" t="n">
        <v>12.96</v>
      </c>
    </row>
    <row r="36" customFormat="false" ht="18.75" hidden="false" customHeight="true" outlineLevel="0" collapsed="false">
      <c r="A36" s="59"/>
      <c r="B36" s="60" t="s">
        <v>42</v>
      </c>
      <c r="C36" s="61" t="n">
        <v>590</v>
      </c>
      <c r="D36" s="88"/>
      <c r="E36" s="63" t="n">
        <v>2.3</v>
      </c>
      <c r="F36" s="64" t="n">
        <v>120</v>
      </c>
      <c r="G36" s="65" t="n">
        <v>257</v>
      </c>
      <c r="H36" s="66"/>
      <c r="I36" s="67" t="n">
        <v>0.27</v>
      </c>
      <c r="J36" s="68"/>
    </row>
    <row r="37" customFormat="false" ht="18.75" hidden="false" customHeight="true" outlineLevel="0" collapsed="false">
      <c r="A37" s="30"/>
      <c r="B37" s="40" t="s">
        <v>43</v>
      </c>
      <c r="C37" s="41"/>
      <c r="D37" s="42"/>
      <c r="E37" s="43" t="n">
        <v>2</v>
      </c>
      <c r="F37" s="44" t="n">
        <v>120</v>
      </c>
      <c r="G37" s="103"/>
      <c r="H37" s="46" t="n">
        <v>240</v>
      </c>
      <c r="I37" s="47" t="n">
        <v>0.06</v>
      </c>
      <c r="J37" s="48" t="n">
        <v>14.4</v>
      </c>
    </row>
    <row r="38" customFormat="false" ht="18.75" hidden="false" customHeight="true" outlineLevel="0" collapsed="false">
      <c r="A38" s="49"/>
      <c r="B38" s="69" t="s">
        <v>44</v>
      </c>
      <c r="C38" s="70" t="n">
        <v>590</v>
      </c>
      <c r="D38" s="90"/>
      <c r="E38" s="72" t="n">
        <v>1.5</v>
      </c>
      <c r="F38" s="73" t="n">
        <v>120</v>
      </c>
      <c r="G38" s="74" t="n">
        <v>393</v>
      </c>
      <c r="H38" s="75"/>
      <c r="I38" s="76" t="n">
        <v>0.27</v>
      </c>
      <c r="J38" s="77"/>
    </row>
    <row r="39" customFormat="false" ht="18.75" hidden="false" customHeight="true" outlineLevel="0" collapsed="false">
      <c r="A39" s="30"/>
      <c r="B39" s="40" t="s">
        <v>45</v>
      </c>
      <c r="C39" s="41"/>
      <c r="D39" s="42"/>
      <c r="E39" s="43" t="n">
        <v>1.1</v>
      </c>
      <c r="F39" s="44" t="n">
        <v>120</v>
      </c>
      <c r="G39" s="103"/>
      <c r="H39" s="46" t="n">
        <v>132</v>
      </c>
      <c r="I39" s="47" t="n">
        <v>0.06</v>
      </c>
      <c r="J39" s="48" t="n">
        <v>7.92</v>
      </c>
    </row>
    <row r="40" customFormat="false" ht="18.75" hidden="false" customHeight="true" outlineLevel="0" collapsed="false">
      <c r="A40" s="59"/>
      <c r="B40" s="60" t="s">
        <v>46</v>
      </c>
      <c r="C40" s="61" t="n">
        <v>600</v>
      </c>
      <c r="D40" s="62" t="n">
        <v>1000</v>
      </c>
      <c r="E40" s="63" t="n">
        <v>9.3</v>
      </c>
      <c r="F40" s="64" t="n">
        <v>120</v>
      </c>
      <c r="G40" s="65" t="n">
        <v>172</v>
      </c>
      <c r="H40" s="66"/>
      <c r="I40" s="67" t="n">
        <v>0.27</v>
      </c>
      <c r="J40" s="68"/>
    </row>
    <row r="41" customFormat="false" ht="18.75" hidden="false" customHeight="true" outlineLevel="0" collapsed="false">
      <c r="A41" s="49"/>
      <c r="B41" s="69" t="s">
        <v>47</v>
      </c>
      <c r="C41" s="70" t="n">
        <v>2800</v>
      </c>
      <c r="D41" s="71" t="n">
        <v>1000</v>
      </c>
      <c r="E41" s="72" t="n">
        <v>9.3</v>
      </c>
      <c r="F41" s="73" t="n">
        <v>120</v>
      </c>
      <c r="G41" s="74" t="n">
        <v>409</v>
      </c>
      <c r="H41" s="75"/>
      <c r="I41" s="76" t="n">
        <v>0.06</v>
      </c>
      <c r="J41" s="77"/>
    </row>
    <row r="42" customFormat="false" ht="18.75" hidden="false" customHeight="true" outlineLevel="0" collapsed="false">
      <c r="A42" s="59"/>
      <c r="B42" s="60" t="s">
        <v>48</v>
      </c>
      <c r="C42" s="61" t="n">
        <v>1190</v>
      </c>
      <c r="D42" s="88"/>
      <c r="E42" s="63" t="n">
        <v>4.3</v>
      </c>
      <c r="F42" s="64" t="n">
        <v>120</v>
      </c>
      <c r="G42" s="65" t="n">
        <v>277</v>
      </c>
      <c r="H42" s="66"/>
      <c r="I42" s="67" t="n">
        <v>0.27</v>
      </c>
      <c r="J42" s="68"/>
    </row>
    <row r="43" customFormat="false" ht="18.75" hidden="false" customHeight="true" outlineLevel="0" collapsed="false">
      <c r="A43" s="49"/>
      <c r="B43" s="69" t="s">
        <v>49</v>
      </c>
      <c r="C43" s="70" t="n">
        <v>1000</v>
      </c>
      <c r="D43" s="90"/>
      <c r="E43" s="72" t="n">
        <v>4</v>
      </c>
      <c r="F43" s="73" t="n">
        <v>120</v>
      </c>
      <c r="G43" s="74" t="n">
        <v>250</v>
      </c>
      <c r="H43" s="75"/>
      <c r="I43" s="76" t="n">
        <v>0.06</v>
      </c>
      <c r="J43" s="77"/>
    </row>
    <row r="44" customFormat="false" ht="18.75" hidden="false" customHeight="true" outlineLevel="0" collapsed="false">
      <c r="A44" s="59"/>
      <c r="B44" s="60" t="s">
        <v>50</v>
      </c>
      <c r="C44" s="61" t="n">
        <v>590</v>
      </c>
      <c r="D44" s="88"/>
      <c r="E44" s="63" t="n">
        <v>2.4</v>
      </c>
      <c r="F44" s="64" t="n">
        <v>120</v>
      </c>
      <c r="G44" s="65" t="n">
        <v>246</v>
      </c>
      <c r="H44" s="66"/>
      <c r="I44" s="67" t="n">
        <v>0.27</v>
      </c>
      <c r="J44" s="68"/>
    </row>
    <row r="45" customFormat="false" ht="18.75" hidden="false" customHeight="true" outlineLevel="0" collapsed="false">
      <c r="A45" s="30"/>
      <c r="B45" s="40" t="s">
        <v>51</v>
      </c>
      <c r="C45" s="41"/>
      <c r="D45" s="42"/>
      <c r="E45" s="43" t="n">
        <v>2</v>
      </c>
      <c r="F45" s="44" t="n">
        <v>120</v>
      </c>
      <c r="G45" s="103"/>
      <c r="H45" s="46" t="n">
        <v>240</v>
      </c>
      <c r="I45" s="47" t="n">
        <v>0.06</v>
      </c>
      <c r="J45" s="48" t="n">
        <v>14.4</v>
      </c>
    </row>
    <row r="46" customFormat="false" ht="18.75" hidden="false" customHeight="true" outlineLevel="0" collapsed="false">
      <c r="A46" s="49"/>
      <c r="B46" s="69" t="s">
        <v>52</v>
      </c>
      <c r="C46" s="70" t="n">
        <v>600</v>
      </c>
      <c r="D46" s="90"/>
      <c r="E46" s="72" t="n">
        <v>2.9</v>
      </c>
      <c r="F46" s="73" t="n">
        <v>120</v>
      </c>
      <c r="G46" s="74" t="n">
        <v>207</v>
      </c>
      <c r="H46" s="75"/>
      <c r="I46" s="76" t="n">
        <v>0.27</v>
      </c>
      <c r="J46" s="77"/>
    </row>
    <row r="47" customFormat="false" ht="18.75" hidden="false" customHeight="true" outlineLevel="0" collapsed="false">
      <c r="A47" s="30"/>
      <c r="B47" s="40" t="s">
        <v>53</v>
      </c>
      <c r="C47" s="41"/>
      <c r="D47" s="42"/>
      <c r="E47" s="43" t="n">
        <v>2.9</v>
      </c>
      <c r="F47" s="44" t="n">
        <v>120</v>
      </c>
      <c r="G47" s="103"/>
      <c r="H47" s="46" t="n">
        <v>348</v>
      </c>
      <c r="I47" s="47" t="n">
        <v>0.06</v>
      </c>
      <c r="J47" s="48" t="n">
        <v>20.88</v>
      </c>
    </row>
    <row r="48" customFormat="false" ht="18.75" hidden="false" customHeight="true" outlineLevel="0" collapsed="false">
      <c r="A48" s="59"/>
      <c r="B48" s="79" t="s">
        <v>54</v>
      </c>
      <c r="C48" s="80" t="n">
        <v>1655</v>
      </c>
      <c r="D48" s="91"/>
      <c r="E48" s="82" t="n">
        <v>12.8</v>
      </c>
      <c r="F48" s="83" t="n">
        <v>120</v>
      </c>
      <c r="G48" s="84" t="n">
        <v>129</v>
      </c>
      <c r="H48" s="85"/>
      <c r="I48" s="86" t="n">
        <v>0.4</v>
      </c>
      <c r="J48" s="87"/>
    </row>
    <row r="49" customFormat="false" ht="18.75" hidden="false" customHeight="true" outlineLevel="0" collapsed="false">
      <c r="A49" s="11"/>
      <c r="B49" s="21" t="s">
        <v>55</v>
      </c>
      <c r="C49" s="22" t="n">
        <v>355</v>
      </c>
      <c r="D49" s="23" t="n">
        <v>420</v>
      </c>
      <c r="E49" s="24" t="n">
        <v>10.8</v>
      </c>
      <c r="F49" s="25" t="n">
        <v>120</v>
      </c>
      <c r="G49" s="26" t="n">
        <v>72</v>
      </c>
      <c r="H49" s="27" t="n">
        <v>521</v>
      </c>
      <c r="I49" s="28" t="n">
        <v>0.96</v>
      </c>
      <c r="J49" s="29" t="n">
        <v>500.16</v>
      </c>
    </row>
    <row r="50" customFormat="false" ht="18.75" hidden="false" customHeight="true" outlineLevel="0" collapsed="false">
      <c r="A50" s="30"/>
      <c r="B50" s="40" t="s">
        <v>56</v>
      </c>
      <c r="C50" s="41"/>
      <c r="D50" s="42"/>
      <c r="E50" s="43" t="n">
        <v>2</v>
      </c>
      <c r="F50" s="44" t="n">
        <v>120</v>
      </c>
      <c r="G50" s="103"/>
      <c r="H50" s="46" t="n">
        <v>240</v>
      </c>
      <c r="I50" s="47" t="n">
        <v>0.96</v>
      </c>
      <c r="J50" s="48" t="n">
        <v>230.4</v>
      </c>
    </row>
    <row r="51" customFormat="false" ht="18.75" hidden="false" customHeight="true" outlineLevel="0" collapsed="false">
      <c r="A51" s="49"/>
      <c r="B51" s="69" t="s">
        <v>57</v>
      </c>
      <c r="C51" s="70" t="n">
        <v>1800</v>
      </c>
      <c r="D51" s="90"/>
      <c r="E51" s="72" t="n">
        <v>2</v>
      </c>
      <c r="F51" s="73" t="n">
        <v>120</v>
      </c>
      <c r="G51" s="74" t="n">
        <v>900</v>
      </c>
      <c r="H51" s="75"/>
      <c r="I51" s="76" t="n">
        <v>0.09</v>
      </c>
      <c r="J51" s="77"/>
    </row>
    <row r="52" customFormat="false" ht="18.75" hidden="false" customHeight="true" outlineLevel="0" collapsed="false">
      <c r="A52" s="92"/>
      <c r="B52" s="104" t="s">
        <v>58</v>
      </c>
      <c r="C52" s="105" t="n">
        <v>1117</v>
      </c>
      <c r="D52" s="106" t="n">
        <v>2500</v>
      </c>
      <c r="E52" s="107" t="n">
        <v>94.5</v>
      </c>
      <c r="F52" s="108" t="n">
        <v>60</v>
      </c>
      <c r="G52" s="109" t="n">
        <v>38</v>
      </c>
      <c r="H52" s="110" t="n">
        <v>2053</v>
      </c>
      <c r="I52" s="111" t="n">
        <v>0.06</v>
      </c>
      <c r="J52" s="112" t="n">
        <v>123.18</v>
      </c>
    </row>
    <row r="53" customFormat="false" ht="18.75" hidden="false" customHeight="true" outlineLevel="0" collapsed="false">
      <c r="A53" s="59"/>
      <c r="B53" s="60" t="s">
        <v>59</v>
      </c>
      <c r="C53" s="61" t="n">
        <v>100</v>
      </c>
      <c r="D53" s="88"/>
      <c r="E53" s="63" t="n">
        <v>1.2</v>
      </c>
      <c r="F53" s="64" t="n">
        <v>60</v>
      </c>
      <c r="G53" s="65" t="n">
        <v>83</v>
      </c>
      <c r="H53" s="66"/>
      <c r="I53" s="67" t="n">
        <v>0.45</v>
      </c>
      <c r="J53" s="68"/>
    </row>
    <row r="54" customFormat="false" ht="18.75" hidden="false" customHeight="true" outlineLevel="0" collapsed="false">
      <c r="A54" s="92"/>
      <c r="B54" s="93" t="s">
        <v>60</v>
      </c>
      <c r="C54" s="94"/>
      <c r="D54" s="113" t="n">
        <v>100</v>
      </c>
      <c r="E54" s="96" t="n">
        <v>2.9</v>
      </c>
      <c r="F54" s="97" t="n">
        <v>60</v>
      </c>
      <c r="G54" s="98" t="n">
        <v>34</v>
      </c>
      <c r="H54" s="99" t="n">
        <v>74</v>
      </c>
      <c r="I54" s="100" t="n">
        <v>0.43</v>
      </c>
      <c r="J54" s="101" t="n">
        <v>31.82</v>
      </c>
    </row>
    <row r="55" customFormat="false" ht="18.75" hidden="false" customHeight="true" outlineLevel="0" collapsed="false">
      <c r="A55" s="92"/>
      <c r="B55" s="93" t="s">
        <v>61</v>
      </c>
      <c r="C55" s="94" t="n">
        <v>2480</v>
      </c>
      <c r="D55" s="95"/>
      <c r="E55" s="96" t="n">
        <v>45.8</v>
      </c>
      <c r="F55" s="97" t="n">
        <v>60</v>
      </c>
      <c r="G55" s="98" t="n">
        <v>54</v>
      </c>
      <c r="H55" s="99" t="n">
        <v>268</v>
      </c>
      <c r="I55" s="100" t="n">
        <v>0.29</v>
      </c>
      <c r="J55" s="101" t="n">
        <v>77.72</v>
      </c>
    </row>
    <row r="56" customFormat="false" ht="18.75" hidden="false" customHeight="true" outlineLevel="0" collapsed="false">
      <c r="A56" s="30"/>
      <c r="B56" s="40" t="s">
        <v>62</v>
      </c>
      <c r="C56" s="41"/>
      <c r="D56" s="42"/>
      <c r="E56" s="43" t="n">
        <v>1.8</v>
      </c>
      <c r="F56" s="44" t="n">
        <v>120</v>
      </c>
      <c r="G56" s="103"/>
      <c r="H56" s="46" t="n">
        <v>216</v>
      </c>
      <c r="I56" s="47" t="n">
        <v>0.06</v>
      </c>
      <c r="J56" s="48" t="n">
        <v>12.96</v>
      </c>
    </row>
    <row r="57" customFormat="false" ht="18.75" hidden="false" customHeight="true" outlineLevel="0" collapsed="false">
      <c r="A57" s="30"/>
      <c r="B57" s="40" t="s">
        <v>63</v>
      </c>
      <c r="C57" s="41"/>
      <c r="D57" s="42"/>
      <c r="E57" s="43" t="n">
        <v>1.8</v>
      </c>
      <c r="F57" s="44" t="n">
        <v>120</v>
      </c>
      <c r="G57" s="103"/>
      <c r="H57" s="46" t="n">
        <v>216</v>
      </c>
      <c r="I57" s="47" t="n">
        <v>2.26</v>
      </c>
      <c r="J57" s="48" t="n">
        <v>488.16</v>
      </c>
    </row>
    <row r="58" customFormat="false" ht="18.75" hidden="false" customHeight="true" outlineLevel="0" collapsed="false">
      <c r="A58" s="30"/>
      <c r="B58" s="31" t="s">
        <v>64</v>
      </c>
      <c r="C58" s="32"/>
      <c r="D58" s="33"/>
      <c r="E58" s="34" t="n">
        <v>0.1</v>
      </c>
      <c r="F58" s="35" t="n">
        <v>60</v>
      </c>
      <c r="G58" s="114"/>
      <c r="H58" s="37" t="n">
        <v>6</v>
      </c>
      <c r="I58" s="38" t="n">
        <v>0.75</v>
      </c>
      <c r="J58" s="39" t="n">
        <v>4.5</v>
      </c>
    </row>
    <row r="59" customFormat="false" ht="18.75" hidden="false" customHeight="true" outlineLevel="0" collapsed="false">
      <c r="A59" s="30"/>
      <c r="B59" s="40" t="s">
        <v>65</v>
      </c>
      <c r="C59" s="41"/>
      <c r="D59" s="42"/>
      <c r="E59" s="43" t="n">
        <v>0.3</v>
      </c>
      <c r="F59" s="44" t="n">
        <v>60</v>
      </c>
      <c r="G59" s="103"/>
      <c r="H59" s="46" t="n">
        <v>18</v>
      </c>
      <c r="I59" s="47" t="n">
        <v>0.75</v>
      </c>
      <c r="J59" s="48" t="n">
        <v>13.5</v>
      </c>
    </row>
    <row r="60" customFormat="false" ht="21.75" hidden="false" customHeight="true" outlineLevel="0" collapsed="false">
      <c r="B60" s="115" t="s">
        <v>66</v>
      </c>
      <c r="C60" s="115"/>
      <c r="D60" s="115"/>
      <c r="E60" s="115"/>
      <c r="F60" s="115"/>
      <c r="G60" s="115"/>
      <c r="H60" s="115"/>
      <c r="I60" s="115"/>
      <c r="J60" s="116" t="n">
        <f aca="false">SUM(J5:J59)</f>
        <v>4790.035</v>
      </c>
    </row>
  </sheetData>
  <mergeCells count="3">
    <mergeCell ref="B1:J1"/>
    <mergeCell ref="B2:J2"/>
    <mergeCell ref="B60:I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36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</cols>
  <sheetData>
    <row r="1" customFormat="false" ht="36" hidden="false" customHeight="true" outlineLevel="0" collapsed="false">
      <c r="A1" s="1"/>
      <c r="B1" s="2" t="s">
        <v>67</v>
      </c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/>
      <c r="B2" s="4" t="s">
        <v>68</v>
      </c>
      <c r="C2" s="4"/>
      <c r="D2" s="4"/>
      <c r="E2" s="4"/>
      <c r="F2" s="4"/>
      <c r="G2" s="4"/>
      <c r="H2" s="4"/>
      <c r="I2" s="4"/>
    </row>
    <row r="3" customFormat="false" ht="7.5" hidden="false" customHeight="true" outlineLevel="0" collapsed="false"/>
    <row r="4" customFormat="false" ht="25.5" hidden="false" customHeight="true" outlineLevel="0" collapsed="false">
      <c r="B4" s="5" t="s">
        <v>69</v>
      </c>
      <c r="C4" s="8" t="s">
        <v>70</v>
      </c>
      <c r="D4" s="8" t="s">
        <v>71</v>
      </c>
      <c r="E4" s="8" t="s">
        <v>72</v>
      </c>
      <c r="F4" s="117" t="s">
        <v>73</v>
      </c>
      <c r="G4" s="6" t="s">
        <v>74</v>
      </c>
      <c r="H4" s="9" t="s">
        <v>75</v>
      </c>
      <c r="I4" s="10" t="s">
        <v>76</v>
      </c>
    </row>
    <row r="5" customFormat="false" ht="21.75" hidden="false" customHeight="true" outlineLevel="0" collapsed="false">
      <c r="A5" s="118"/>
      <c r="B5" s="119" t="s">
        <v>77</v>
      </c>
      <c r="C5" s="120" t="s">
        <v>78</v>
      </c>
      <c r="D5" s="121" t="s">
        <v>79</v>
      </c>
      <c r="E5" s="120" t="s">
        <v>80</v>
      </c>
      <c r="F5" s="122" t="s">
        <v>81</v>
      </c>
      <c r="G5" s="122"/>
      <c r="H5" s="122"/>
      <c r="I5" s="123" t="n">
        <v>7660</v>
      </c>
    </row>
    <row r="6" customFormat="false" ht="18" hidden="false" customHeight="true" outlineLevel="0" collapsed="false">
      <c r="A6" s="49"/>
      <c r="B6" s="124" t="s">
        <v>77</v>
      </c>
      <c r="C6" s="125" t="s">
        <v>78</v>
      </c>
      <c r="D6" s="125" t="s">
        <v>79</v>
      </c>
      <c r="E6" s="125" t="s">
        <v>80</v>
      </c>
      <c r="F6" s="69" t="s">
        <v>11</v>
      </c>
      <c r="G6" s="126" t="n">
        <v>30000</v>
      </c>
      <c r="H6" s="76" t="n">
        <v>0.12</v>
      </c>
      <c r="I6" s="127" t="n">
        <v>3600</v>
      </c>
    </row>
    <row r="7" customFormat="false" ht="18" hidden="false" customHeight="true" outlineLevel="0" collapsed="false">
      <c r="A7" s="59"/>
      <c r="B7" s="128" t="s">
        <v>77</v>
      </c>
      <c r="C7" s="129" t="s">
        <v>78</v>
      </c>
      <c r="D7" s="129" t="s">
        <v>79</v>
      </c>
      <c r="E7" s="129" t="s">
        <v>80</v>
      </c>
      <c r="F7" s="60" t="s">
        <v>12</v>
      </c>
      <c r="G7" s="130" t="n">
        <v>20000</v>
      </c>
      <c r="H7" s="67" t="n">
        <v>0.08</v>
      </c>
      <c r="I7" s="131" t="n">
        <v>1600</v>
      </c>
    </row>
    <row r="8" customFormat="false" ht="18" hidden="false" customHeight="true" outlineLevel="0" collapsed="false">
      <c r="A8" s="49"/>
      <c r="B8" s="124" t="s">
        <v>77</v>
      </c>
      <c r="C8" s="125" t="s">
        <v>78</v>
      </c>
      <c r="D8" s="125" t="s">
        <v>79</v>
      </c>
      <c r="E8" s="125" t="s">
        <v>80</v>
      </c>
      <c r="F8" s="69" t="s">
        <v>46</v>
      </c>
      <c r="G8" s="126" t="n">
        <v>1000</v>
      </c>
      <c r="H8" s="76" t="n">
        <v>0.27</v>
      </c>
      <c r="I8" s="127" t="n">
        <v>270</v>
      </c>
    </row>
    <row r="9" customFormat="false" ht="18" hidden="false" customHeight="true" outlineLevel="0" collapsed="false">
      <c r="A9" s="59"/>
      <c r="B9" s="128" t="s">
        <v>77</v>
      </c>
      <c r="C9" s="129" t="s">
        <v>78</v>
      </c>
      <c r="D9" s="129" t="s">
        <v>79</v>
      </c>
      <c r="E9" s="129" t="s">
        <v>80</v>
      </c>
      <c r="F9" s="60" t="s">
        <v>47</v>
      </c>
      <c r="G9" s="130" t="n">
        <v>1000</v>
      </c>
      <c r="H9" s="67" t="n">
        <v>0.06</v>
      </c>
      <c r="I9" s="131" t="n">
        <v>60</v>
      </c>
    </row>
    <row r="10" customFormat="false" ht="18" hidden="false" customHeight="true" outlineLevel="0" collapsed="false">
      <c r="A10" s="49"/>
      <c r="B10" s="124" t="s">
        <v>77</v>
      </c>
      <c r="C10" s="125" t="s">
        <v>78</v>
      </c>
      <c r="D10" s="125" t="s">
        <v>79</v>
      </c>
      <c r="E10" s="125" t="s">
        <v>80</v>
      </c>
      <c r="F10" s="69" t="s">
        <v>30</v>
      </c>
      <c r="G10" s="126" t="n">
        <v>6000</v>
      </c>
      <c r="H10" s="76" t="n">
        <v>0.16</v>
      </c>
      <c r="I10" s="127" t="n">
        <v>960</v>
      </c>
    </row>
    <row r="11" customFormat="false" ht="18" hidden="false" customHeight="true" outlineLevel="0" collapsed="false">
      <c r="A11" s="59"/>
      <c r="B11" s="128" t="s">
        <v>77</v>
      </c>
      <c r="C11" s="129" t="s">
        <v>78</v>
      </c>
      <c r="D11" s="129" t="s">
        <v>79</v>
      </c>
      <c r="E11" s="129" t="s">
        <v>80</v>
      </c>
      <c r="F11" s="60" t="s">
        <v>34</v>
      </c>
      <c r="G11" s="130" t="n">
        <v>6000</v>
      </c>
      <c r="H11" s="67" t="n">
        <v>0.09</v>
      </c>
      <c r="I11" s="131" t="n">
        <v>540</v>
      </c>
    </row>
    <row r="12" customFormat="false" ht="18" hidden="false" customHeight="true" outlineLevel="0" collapsed="false">
      <c r="A12" s="49"/>
      <c r="B12" s="124" t="s">
        <v>77</v>
      </c>
      <c r="C12" s="125" t="s">
        <v>78</v>
      </c>
      <c r="D12" s="125" t="s">
        <v>79</v>
      </c>
      <c r="E12" s="125" t="s">
        <v>80</v>
      </c>
      <c r="F12" s="69" t="s">
        <v>32</v>
      </c>
      <c r="G12" s="126" t="n">
        <v>3000</v>
      </c>
      <c r="H12" s="76" t="n">
        <v>0.09</v>
      </c>
      <c r="I12" s="127" t="n">
        <v>270</v>
      </c>
    </row>
    <row r="13" customFormat="false" ht="18" hidden="false" customHeight="true" outlineLevel="0" collapsed="false">
      <c r="A13" s="59"/>
      <c r="B13" s="128" t="s">
        <v>77</v>
      </c>
      <c r="C13" s="129" t="s">
        <v>78</v>
      </c>
      <c r="D13" s="129" t="s">
        <v>79</v>
      </c>
      <c r="E13" s="129" t="s">
        <v>80</v>
      </c>
      <c r="F13" s="60" t="s">
        <v>33</v>
      </c>
      <c r="G13" s="130" t="n">
        <v>3000</v>
      </c>
      <c r="H13" s="67" t="n">
        <v>0.12</v>
      </c>
      <c r="I13" s="131" t="n">
        <v>360</v>
      </c>
    </row>
    <row r="14" customFormat="false" ht="6" hidden="false" customHeight="true" outlineLevel="0" collapsed="false"/>
    <row r="15" customFormat="false" ht="21.75" hidden="false" customHeight="true" outlineLevel="0" collapsed="false">
      <c r="A15" s="132"/>
      <c r="B15" s="133" t="s">
        <v>82</v>
      </c>
      <c r="C15" s="134" t="s">
        <v>83</v>
      </c>
      <c r="D15" s="135" t="s">
        <v>84</v>
      </c>
      <c r="E15" s="134" t="s">
        <v>85</v>
      </c>
      <c r="F15" s="136" t="s">
        <v>86</v>
      </c>
      <c r="G15" s="136"/>
      <c r="H15" s="136"/>
      <c r="I15" s="137" t="n">
        <v>604.8</v>
      </c>
    </row>
    <row r="16" customFormat="false" ht="18" hidden="false" customHeight="true" outlineLevel="0" collapsed="false">
      <c r="A16" s="49"/>
      <c r="B16" s="124" t="s">
        <v>82</v>
      </c>
      <c r="C16" s="125" t="s">
        <v>83</v>
      </c>
      <c r="D16" s="125" t="s">
        <v>84</v>
      </c>
      <c r="E16" s="125" t="s">
        <v>85</v>
      </c>
      <c r="F16" s="69" t="s">
        <v>37</v>
      </c>
      <c r="G16" s="126" t="n">
        <v>960</v>
      </c>
      <c r="H16" s="76" t="n">
        <v>0.21</v>
      </c>
      <c r="I16" s="127" t="n">
        <v>201.6</v>
      </c>
    </row>
    <row r="17" customFormat="false" ht="18" hidden="false" customHeight="true" outlineLevel="0" collapsed="false">
      <c r="A17" s="59"/>
      <c r="B17" s="128" t="s">
        <v>82</v>
      </c>
      <c r="C17" s="129" t="s">
        <v>83</v>
      </c>
      <c r="D17" s="129" t="s">
        <v>84</v>
      </c>
      <c r="E17" s="129" t="s">
        <v>85</v>
      </c>
      <c r="F17" s="60" t="s">
        <v>55</v>
      </c>
      <c r="G17" s="130" t="n">
        <v>420</v>
      </c>
      <c r="H17" s="67" t="n">
        <v>0.96</v>
      </c>
      <c r="I17" s="131" t="n">
        <v>403.2</v>
      </c>
    </row>
    <row r="18" customFormat="false" ht="6" hidden="false" customHeight="true" outlineLevel="0" collapsed="false"/>
    <row r="19" customFormat="false" ht="21.75" hidden="false" customHeight="true" outlineLevel="0" collapsed="false">
      <c r="A19" s="132"/>
      <c r="B19" s="133" t="s">
        <v>87</v>
      </c>
      <c r="C19" s="134" t="s">
        <v>88</v>
      </c>
      <c r="D19" s="135" t="s">
        <v>89</v>
      </c>
      <c r="E19" s="134" t="s">
        <v>85</v>
      </c>
      <c r="F19" s="136" t="s">
        <v>86</v>
      </c>
      <c r="G19" s="136"/>
      <c r="H19" s="136"/>
      <c r="I19" s="137" t="n">
        <v>193</v>
      </c>
    </row>
    <row r="20" customFormat="false" ht="18" hidden="false" customHeight="true" outlineLevel="0" collapsed="false">
      <c r="A20" s="49"/>
      <c r="B20" s="124" t="s">
        <v>87</v>
      </c>
      <c r="C20" s="125" t="s">
        <v>88</v>
      </c>
      <c r="D20" s="125" t="s">
        <v>89</v>
      </c>
      <c r="E20" s="125" t="s">
        <v>85</v>
      </c>
      <c r="F20" s="69" t="s">
        <v>58</v>
      </c>
      <c r="G20" s="126" t="n">
        <v>2500</v>
      </c>
      <c r="H20" s="76" t="n">
        <v>0.06</v>
      </c>
      <c r="I20" s="127" t="n">
        <v>150</v>
      </c>
    </row>
    <row r="21" customFormat="false" ht="18" hidden="false" customHeight="true" outlineLevel="0" collapsed="false">
      <c r="A21" s="59"/>
      <c r="B21" s="128" t="s">
        <v>87</v>
      </c>
      <c r="C21" s="129" t="s">
        <v>88</v>
      </c>
      <c r="D21" s="129" t="s">
        <v>89</v>
      </c>
      <c r="E21" s="129" t="s">
        <v>85</v>
      </c>
      <c r="F21" s="60" t="s">
        <v>60</v>
      </c>
      <c r="G21" s="130" t="n">
        <v>100</v>
      </c>
      <c r="H21" s="67" t="n">
        <v>0.43</v>
      </c>
      <c r="I21" s="131" t="n">
        <v>43</v>
      </c>
    </row>
    <row r="22" customFormat="false" ht="6" hidden="false" customHeight="true" outlineLevel="0" collapsed="false"/>
    <row r="23" customFormat="false" ht="21.75" hidden="false" customHeight="true" outlineLevel="0" collapsed="false">
      <c r="A23" s="132"/>
      <c r="B23" s="133" t="s">
        <v>90</v>
      </c>
      <c r="C23" s="134" t="s">
        <v>91</v>
      </c>
      <c r="D23" s="135" t="s">
        <v>92</v>
      </c>
      <c r="E23" s="134" t="s">
        <v>80</v>
      </c>
      <c r="F23" s="136" t="s">
        <v>86</v>
      </c>
      <c r="G23" s="136"/>
      <c r="H23" s="136"/>
      <c r="I23" s="137" t="n">
        <v>7371.15</v>
      </c>
    </row>
    <row r="24" customFormat="false" ht="18" hidden="false" customHeight="true" outlineLevel="0" collapsed="false">
      <c r="A24" s="49"/>
      <c r="B24" s="124" t="s">
        <v>90</v>
      </c>
      <c r="C24" s="125" t="s">
        <v>91</v>
      </c>
      <c r="D24" s="125" t="s">
        <v>92</v>
      </c>
      <c r="E24" s="125" t="s">
        <v>80</v>
      </c>
      <c r="F24" s="69" t="s">
        <v>21</v>
      </c>
      <c r="G24" s="126" t="n">
        <v>9900</v>
      </c>
      <c r="H24" s="76" t="n">
        <v>0.08</v>
      </c>
      <c r="I24" s="127" t="n">
        <v>792</v>
      </c>
    </row>
    <row r="25" customFormat="false" ht="18" hidden="false" customHeight="true" outlineLevel="0" collapsed="false">
      <c r="A25" s="59"/>
      <c r="B25" s="128" t="s">
        <v>90</v>
      </c>
      <c r="C25" s="129" t="s">
        <v>91</v>
      </c>
      <c r="D25" s="129" t="s">
        <v>92</v>
      </c>
      <c r="E25" s="129" t="s">
        <v>80</v>
      </c>
      <c r="F25" s="60" t="s">
        <v>23</v>
      </c>
      <c r="G25" s="130" t="n">
        <v>1920</v>
      </c>
      <c r="H25" s="67" t="n">
        <v>0.12</v>
      </c>
      <c r="I25" s="131" t="n">
        <v>230.4</v>
      </c>
    </row>
    <row r="26" customFormat="false" ht="18" hidden="false" customHeight="true" outlineLevel="0" collapsed="false">
      <c r="A26" s="49"/>
      <c r="B26" s="124" t="s">
        <v>90</v>
      </c>
      <c r="C26" s="125" t="s">
        <v>91</v>
      </c>
      <c r="D26" s="125" t="s">
        <v>92</v>
      </c>
      <c r="E26" s="125" t="s">
        <v>80</v>
      </c>
      <c r="F26" s="69" t="s">
        <v>17</v>
      </c>
      <c r="G26" s="126" t="n">
        <v>9900</v>
      </c>
      <c r="H26" s="76" t="n">
        <v>0.08</v>
      </c>
      <c r="I26" s="127" t="n">
        <v>792</v>
      </c>
    </row>
    <row r="27" customFormat="false" ht="18" hidden="false" customHeight="true" outlineLevel="0" collapsed="false">
      <c r="A27" s="59"/>
      <c r="B27" s="128" t="s">
        <v>90</v>
      </c>
      <c r="C27" s="129" t="s">
        <v>91</v>
      </c>
      <c r="D27" s="129" t="s">
        <v>92</v>
      </c>
      <c r="E27" s="129" t="s">
        <v>80</v>
      </c>
      <c r="F27" s="60" t="s">
        <v>27</v>
      </c>
      <c r="G27" s="130" t="n">
        <v>1920</v>
      </c>
      <c r="H27" s="67" t="n">
        <v>0.12</v>
      </c>
      <c r="I27" s="131" t="n">
        <v>230.4</v>
      </c>
    </row>
    <row r="28" customFormat="false" ht="18" hidden="false" customHeight="true" outlineLevel="0" collapsed="false">
      <c r="A28" s="49"/>
      <c r="B28" s="124" t="s">
        <v>90</v>
      </c>
      <c r="C28" s="125" t="s">
        <v>91</v>
      </c>
      <c r="D28" s="125" t="s">
        <v>92</v>
      </c>
      <c r="E28" s="125" t="s">
        <v>80</v>
      </c>
      <c r="F28" s="69" t="s">
        <v>25</v>
      </c>
      <c r="G28" s="126" t="n">
        <v>4950</v>
      </c>
      <c r="H28" s="76" t="n">
        <v>0.12</v>
      </c>
      <c r="I28" s="127" t="n">
        <v>594</v>
      </c>
    </row>
    <row r="29" customFormat="false" ht="18" hidden="false" customHeight="true" outlineLevel="0" collapsed="false">
      <c r="A29" s="59"/>
      <c r="B29" s="128" t="s">
        <v>90</v>
      </c>
      <c r="C29" s="129" t="s">
        <v>91</v>
      </c>
      <c r="D29" s="129" t="s">
        <v>92</v>
      </c>
      <c r="E29" s="129" t="s">
        <v>80</v>
      </c>
      <c r="F29" s="60" t="s">
        <v>15</v>
      </c>
      <c r="G29" s="130" t="n">
        <v>11475</v>
      </c>
      <c r="H29" s="67" t="n">
        <v>0.09</v>
      </c>
      <c r="I29" s="131" t="n">
        <v>1032.75</v>
      </c>
    </row>
    <row r="30" customFormat="false" ht="18" hidden="false" customHeight="true" outlineLevel="0" collapsed="false">
      <c r="A30" s="49"/>
      <c r="B30" s="124" t="s">
        <v>90</v>
      </c>
      <c r="C30" s="125" t="s">
        <v>91</v>
      </c>
      <c r="D30" s="125" t="s">
        <v>92</v>
      </c>
      <c r="E30" s="125" t="s">
        <v>80</v>
      </c>
      <c r="F30" s="69" t="s">
        <v>20</v>
      </c>
      <c r="G30" s="126" t="n">
        <v>9900</v>
      </c>
      <c r="H30" s="76" t="n">
        <v>0.15</v>
      </c>
      <c r="I30" s="127" t="n">
        <v>1485</v>
      </c>
    </row>
    <row r="31" customFormat="false" ht="18" hidden="false" customHeight="true" outlineLevel="0" collapsed="false">
      <c r="A31" s="59"/>
      <c r="B31" s="128" t="s">
        <v>90</v>
      </c>
      <c r="C31" s="129" t="s">
        <v>91</v>
      </c>
      <c r="D31" s="129" t="s">
        <v>92</v>
      </c>
      <c r="E31" s="129" t="s">
        <v>80</v>
      </c>
      <c r="F31" s="60" t="s">
        <v>22</v>
      </c>
      <c r="G31" s="130" t="n">
        <v>1920</v>
      </c>
      <c r="H31" s="67" t="n">
        <v>0.19</v>
      </c>
      <c r="I31" s="131" t="n">
        <v>364.8</v>
      </c>
    </row>
    <row r="32" customFormat="false" ht="18" hidden="false" customHeight="true" outlineLevel="0" collapsed="false">
      <c r="A32" s="49"/>
      <c r="B32" s="124" t="s">
        <v>90</v>
      </c>
      <c r="C32" s="125" t="s">
        <v>91</v>
      </c>
      <c r="D32" s="125" t="s">
        <v>92</v>
      </c>
      <c r="E32" s="125" t="s">
        <v>80</v>
      </c>
      <c r="F32" s="69" t="s">
        <v>24</v>
      </c>
      <c r="G32" s="126" t="n">
        <v>4950</v>
      </c>
      <c r="H32" s="76" t="n">
        <v>0.15</v>
      </c>
      <c r="I32" s="127" t="n">
        <v>742.5</v>
      </c>
    </row>
    <row r="33" customFormat="false" ht="18" hidden="false" customHeight="true" outlineLevel="0" collapsed="false">
      <c r="A33" s="59"/>
      <c r="B33" s="128" t="s">
        <v>90</v>
      </c>
      <c r="C33" s="129" t="s">
        <v>91</v>
      </c>
      <c r="D33" s="129" t="s">
        <v>92</v>
      </c>
      <c r="E33" s="129" t="s">
        <v>80</v>
      </c>
      <c r="F33" s="60" t="s">
        <v>16</v>
      </c>
      <c r="G33" s="130" t="n">
        <v>4950</v>
      </c>
      <c r="H33" s="67" t="n">
        <v>0.15</v>
      </c>
      <c r="I33" s="131" t="n">
        <v>742.5</v>
      </c>
    </row>
    <row r="34" customFormat="false" ht="18" hidden="false" customHeight="true" outlineLevel="0" collapsed="false">
      <c r="A34" s="49"/>
      <c r="B34" s="124" t="s">
        <v>90</v>
      </c>
      <c r="C34" s="125" t="s">
        <v>91</v>
      </c>
      <c r="D34" s="125" t="s">
        <v>92</v>
      </c>
      <c r="E34" s="125" t="s">
        <v>80</v>
      </c>
      <c r="F34" s="69" t="s">
        <v>18</v>
      </c>
      <c r="G34" s="126" t="n">
        <v>1920</v>
      </c>
      <c r="H34" s="76" t="n">
        <v>0.19</v>
      </c>
      <c r="I34" s="127" t="n">
        <v>364.8</v>
      </c>
    </row>
    <row r="35" customFormat="false" ht="6" hidden="false" customHeight="true" outlineLevel="0" collapsed="false"/>
    <row r="36" customFormat="false" ht="21.75" hidden="false" customHeight="true" outlineLevel="0" collapsed="false">
      <c r="A36" s="138"/>
      <c r="B36" s="139" t="s">
        <v>93</v>
      </c>
      <c r="C36" s="140" t="s">
        <v>94</v>
      </c>
      <c r="D36" s="141" t="s">
        <v>95</v>
      </c>
      <c r="E36" s="140" t="s">
        <v>80</v>
      </c>
      <c r="F36" s="142" t="s">
        <v>96</v>
      </c>
      <c r="G36" s="142"/>
      <c r="H36" s="142"/>
      <c r="I36" s="143" t="n">
        <v>756</v>
      </c>
    </row>
    <row r="37" customFormat="false" ht="18" hidden="false" customHeight="true" outlineLevel="0" collapsed="false">
      <c r="A37" s="49"/>
      <c r="B37" s="124" t="s">
        <v>93</v>
      </c>
      <c r="C37" s="125" t="s">
        <v>94</v>
      </c>
      <c r="D37" s="125" t="s">
        <v>95</v>
      </c>
      <c r="E37" s="125" t="s">
        <v>80</v>
      </c>
      <c r="F37" s="69" t="s">
        <v>46</v>
      </c>
      <c r="G37" s="126" t="n">
        <v>600</v>
      </c>
      <c r="H37" s="76" t="n">
        <v>0.27</v>
      </c>
      <c r="I37" s="127" t="n">
        <v>162</v>
      </c>
    </row>
    <row r="38" customFormat="false" ht="18" hidden="false" customHeight="true" outlineLevel="0" collapsed="false">
      <c r="A38" s="59"/>
      <c r="B38" s="128" t="s">
        <v>93</v>
      </c>
      <c r="C38" s="129" t="s">
        <v>94</v>
      </c>
      <c r="D38" s="129" t="s">
        <v>95</v>
      </c>
      <c r="E38" s="129" t="s">
        <v>80</v>
      </c>
      <c r="F38" s="60" t="s">
        <v>48</v>
      </c>
      <c r="G38" s="130" t="n">
        <v>600</v>
      </c>
      <c r="H38" s="67" t="n">
        <v>0.27</v>
      </c>
      <c r="I38" s="131" t="n">
        <v>162</v>
      </c>
    </row>
    <row r="39" customFormat="false" ht="18" hidden="false" customHeight="true" outlineLevel="0" collapsed="false">
      <c r="A39" s="49"/>
      <c r="B39" s="124" t="s">
        <v>93</v>
      </c>
      <c r="C39" s="125" t="s">
        <v>94</v>
      </c>
      <c r="D39" s="125" t="s">
        <v>95</v>
      </c>
      <c r="E39" s="125" t="s">
        <v>80</v>
      </c>
      <c r="F39" s="69" t="s">
        <v>38</v>
      </c>
      <c r="G39" s="126" t="n">
        <v>600</v>
      </c>
      <c r="H39" s="76" t="n">
        <v>0.27</v>
      </c>
      <c r="I39" s="127" t="n">
        <v>162</v>
      </c>
    </row>
    <row r="40" customFormat="false" ht="18" hidden="false" customHeight="true" outlineLevel="0" collapsed="false">
      <c r="A40" s="59"/>
      <c r="B40" s="128" t="s">
        <v>93</v>
      </c>
      <c r="C40" s="129" t="s">
        <v>94</v>
      </c>
      <c r="D40" s="129" t="s">
        <v>95</v>
      </c>
      <c r="E40" s="129" t="s">
        <v>80</v>
      </c>
      <c r="F40" s="60" t="s">
        <v>47</v>
      </c>
      <c r="G40" s="130" t="n">
        <v>1000</v>
      </c>
      <c r="H40" s="67" t="n">
        <v>0.06</v>
      </c>
      <c r="I40" s="131" t="n">
        <v>60</v>
      </c>
    </row>
    <row r="41" customFormat="false" ht="18" hidden="false" customHeight="true" outlineLevel="0" collapsed="false">
      <c r="A41" s="49"/>
      <c r="B41" s="124" t="s">
        <v>93</v>
      </c>
      <c r="C41" s="125" t="s">
        <v>94</v>
      </c>
      <c r="D41" s="125" t="s">
        <v>95</v>
      </c>
      <c r="E41" s="125" t="s">
        <v>80</v>
      </c>
      <c r="F41" s="69" t="s">
        <v>49</v>
      </c>
      <c r="G41" s="126" t="n">
        <v>1000</v>
      </c>
      <c r="H41" s="76" t="n">
        <v>0.06</v>
      </c>
      <c r="I41" s="127" t="n">
        <v>60</v>
      </c>
    </row>
    <row r="42" customFormat="false" ht="18" hidden="false" customHeight="true" outlineLevel="0" collapsed="false">
      <c r="A42" s="59"/>
      <c r="B42" s="128" t="s">
        <v>93</v>
      </c>
      <c r="C42" s="129" t="s">
        <v>94</v>
      </c>
      <c r="D42" s="129" t="s">
        <v>95</v>
      </c>
      <c r="E42" s="129" t="s">
        <v>80</v>
      </c>
      <c r="F42" s="60" t="s">
        <v>39</v>
      </c>
      <c r="G42" s="130" t="n">
        <v>1000</v>
      </c>
      <c r="H42" s="67" t="n">
        <v>0.06</v>
      </c>
      <c r="I42" s="131" t="n">
        <v>60</v>
      </c>
    </row>
    <row r="43" customFormat="false" ht="18" hidden="false" customHeight="true" outlineLevel="0" collapsed="false">
      <c r="A43" s="49"/>
      <c r="B43" s="124" t="s">
        <v>93</v>
      </c>
      <c r="C43" s="125" t="s">
        <v>94</v>
      </c>
      <c r="D43" s="125" t="s">
        <v>95</v>
      </c>
      <c r="E43" s="125" t="s">
        <v>80</v>
      </c>
      <c r="F43" s="69" t="s">
        <v>57</v>
      </c>
      <c r="G43" s="126" t="n">
        <v>1000</v>
      </c>
      <c r="H43" s="76" t="n">
        <v>0.09</v>
      </c>
      <c r="I43" s="127" t="n">
        <v>90</v>
      </c>
    </row>
    <row r="44" customFormat="false" ht="6" hidden="false" customHeight="true" outlineLevel="0" collapsed="false"/>
    <row r="45" customFormat="false" ht="21.75" hidden="false" customHeight="true" outlineLevel="0" collapsed="false">
      <c r="A45" s="138"/>
      <c r="B45" s="139" t="s">
        <v>97</v>
      </c>
      <c r="C45" s="140" t="s">
        <v>98</v>
      </c>
      <c r="D45" s="141" t="s">
        <v>88</v>
      </c>
      <c r="E45" s="140" t="s">
        <v>80</v>
      </c>
      <c r="F45" s="142" t="s">
        <v>96</v>
      </c>
      <c r="G45" s="142"/>
      <c r="H45" s="142"/>
      <c r="I45" s="143" t="n">
        <v>5200</v>
      </c>
    </row>
    <row r="46" customFormat="false" ht="18" hidden="false" customHeight="true" outlineLevel="0" collapsed="false">
      <c r="A46" s="49"/>
      <c r="B46" s="124" t="s">
        <v>97</v>
      </c>
      <c r="C46" s="125" t="s">
        <v>98</v>
      </c>
      <c r="D46" s="125" t="s">
        <v>88</v>
      </c>
      <c r="E46" s="125" t="s">
        <v>80</v>
      </c>
      <c r="F46" s="69" t="s">
        <v>11</v>
      </c>
      <c r="G46" s="126" t="n">
        <v>30000</v>
      </c>
      <c r="H46" s="76" t="n">
        <v>0.12</v>
      </c>
      <c r="I46" s="127" t="n">
        <v>3600</v>
      </c>
    </row>
    <row r="47" customFormat="false" ht="18" hidden="false" customHeight="true" outlineLevel="0" collapsed="false">
      <c r="A47" s="59"/>
      <c r="B47" s="128" t="s">
        <v>97</v>
      </c>
      <c r="C47" s="129" t="s">
        <v>98</v>
      </c>
      <c r="D47" s="129" t="s">
        <v>88</v>
      </c>
      <c r="E47" s="129" t="s">
        <v>80</v>
      </c>
      <c r="F47" s="60" t="s">
        <v>12</v>
      </c>
      <c r="G47" s="130" t="n">
        <v>20000</v>
      </c>
      <c r="H47" s="67" t="n">
        <v>0.08</v>
      </c>
      <c r="I47" s="131" t="n">
        <v>1600</v>
      </c>
    </row>
    <row r="48" customFormat="false" ht="6" hidden="false" customHeight="true" outlineLevel="0" collapsed="false"/>
    <row r="49" customFormat="false" ht="21.75" hidden="false" customHeight="true" outlineLevel="0" collapsed="false">
      <c r="B49" s="115" t="s">
        <v>99</v>
      </c>
      <c r="C49" s="115"/>
      <c r="D49" s="115"/>
      <c r="E49" s="115"/>
      <c r="F49" s="115"/>
      <c r="G49" s="115"/>
      <c r="H49" s="115"/>
      <c r="I49" s="116" t="n">
        <v>21784.95</v>
      </c>
    </row>
  </sheetData>
  <mergeCells count="9">
    <mergeCell ref="B1:I1"/>
    <mergeCell ref="B2:I2"/>
    <mergeCell ref="F5:H5"/>
    <mergeCell ref="F15:H15"/>
    <mergeCell ref="F19:H19"/>
    <mergeCell ref="F23:H23"/>
    <mergeCell ref="F36:H36"/>
    <mergeCell ref="F45:H45"/>
    <mergeCell ref="B49:H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10" min="3" style="0" width="16"/>
    <col collapsed="false" customWidth="true" hidden="false" outlineLevel="0" max="11" min="11" style="0" width="12"/>
  </cols>
  <sheetData>
    <row r="1" customFormat="false" ht="36" hidden="false" customHeight="true" outlineLevel="0" collapsed="false">
      <c r="A1" s="1"/>
      <c r="B1" s="2" t="s">
        <v>100</v>
      </c>
      <c r="C1" s="2"/>
      <c r="D1" s="2"/>
      <c r="E1" s="2"/>
      <c r="F1" s="2"/>
      <c r="G1" s="2"/>
      <c r="H1" s="2"/>
      <c r="I1" s="2"/>
      <c r="J1" s="2"/>
      <c r="K1" s="2"/>
    </row>
    <row r="2" customFormat="false" ht="18" hidden="false" customHeight="true" outlineLevel="0" collapsed="false">
      <c r="A2" s="3"/>
      <c r="B2" s="4" t="s">
        <v>101</v>
      </c>
      <c r="C2" s="4"/>
      <c r="D2" s="4"/>
      <c r="E2" s="4"/>
      <c r="F2" s="4"/>
      <c r="G2" s="4"/>
      <c r="H2" s="4"/>
      <c r="I2" s="4"/>
      <c r="J2" s="4"/>
      <c r="K2" s="4"/>
    </row>
    <row r="3" customFormat="false" ht="7.5" hidden="false" customHeight="true" outlineLevel="0" collapsed="false"/>
    <row r="4" customFormat="false" ht="27.75" hidden="false" customHeight="true" outlineLevel="0" collapsed="false">
      <c r="B4" s="5" t="s">
        <v>73</v>
      </c>
      <c r="C4" s="8" t="s">
        <v>102</v>
      </c>
      <c r="D4" s="8" t="s">
        <v>103</v>
      </c>
      <c r="E4" s="8" t="s">
        <v>104</v>
      </c>
      <c r="F4" s="8" t="s">
        <v>105</v>
      </c>
      <c r="G4" s="8" t="s">
        <v>106</v>
      </c>
      <c r="H4" s="8" t="s">
        <v>107</v>
      </c>
      <c r="I4" s="8" t="s">
        <v>108</v>
      </c>
      <c r="J4" s="8" t="s">
        <v>109</v>
      </c>
      <c r="K4" s="144" t="s">
        <v>110</v>
      </c>
    </row>
    <row r="5" customFormat="false" ht="18.75" hidden="false" customHeight="true" outlineLevel="0" collapsed="false">
      <c r="A5" s="49"/>
      <c r="B5" s="69" t="s">
        <v>11</v>
      </c>
      <c r="C5" s="73" t="n">
        <v>4659</v>
      </c>
      <c r="D5" s="73" t="n">
        <v>5170</v>
      </c>
      <c r="E5" s="73" t="n">
        <v>6968</v>
      </c>
      <c r="F5" s="73" t="n">
        <v>4318</v>
      </c>
      <c r="G5" s="73" t="n">
        <v>5736</v>
      </c>
      <c r="H5" s="73" t="n">
        <v>1152</v>
      </c>
      <c r="I5" s="145"/>
      <c r="J5" s="73" t="n">
        <v>5292</v>
      </c>
      <c r="K5" s="146" t="n">
        <v>33295</v>
      </c>
    </row>
    <row r="6" customFormat="false" ht="18.75" hidden="false" customHeight="true" outlineLevel="0" collapsed="false">
      <c r="A6" s="59"/>
      <c r="B6" s="60" t="s">
        <v>12</v>
      </c>
      <c r="C6" s="64" t="n">
        <v>3840</v>
      </c>
      <c r="D6" s="64" t="n">
        <v>3840</v>
      </c>
      <c r="E6" s="64" t="n">
        <v>5192</v>
      </c>
      <c r="F6" s="64" t="n">
        <v>3072</v>
      </c>
      <c r="G6" s="64" t="n">
        <v>3840</v>
      </c>
      <c r="H6" s="64" t="n">
        <v>1152</v>
      </c>
      <c r="I6" s="147"/>
      <c r="J6" s="64" t="n">
        <v>4992</v>
      </c>
      <c r="K6" s="148" t="n">
        <v>25928</v>
      </c>
    </row>
    <row r="7" customFormat="false" ht="18.75" hidden="false" customHeight="true" outlineLevel="0" collapsed="false">
      <c r="A7" s="49"/>
      <c r="B7" s="69" t="s">
        <v>13</v>
      </c>
      <c r="C7" s="73" t="n">
        <v>435</v>
      </c>
      <c r="D7" s="73" t="n">
        <v>685</v>
      </c>
      <c r="E7" s="73" t="n">
        <v>2550</v>
      </c>
      <c r="F7" s="73" t="n">
        <v>1120</v>
      </c>
      <c r="G7" s="73" t="n">
        <v>500</v>
      </c>
      <c r="H7" s="145"/>
      <c r="I7" s="73" t="n">
        <v>1250</v>
      </c>
      <c r="J7" s="73" t="n">
        <v>540</v>
      </c>
      <c r="K7" s="146" t="n">
        <v>7080</v>
      </c>
    </row>
    <row r="8" customFormat="false" ht="18.75" hidden="false" customHeight="true" outlineLevel="0" collapsed="false">
      <c r="A8" s="59"/>
      <c r="B8" s="60" t="s">
        <v>14</v>
      </c>
      <c r="C8" s="147"/>
      <c r="D8" s="64" t="n">
        <v>145</v>
      </c>
      <c r="E8" s="64" t="n">
        <v>1750</v>
      </c>
      <c r="F8" s="64" t="n">
        <v>600</v>
      </c>
      <c r="G8" s="64" t="n">
        <v>500</v>
      </c>
      <c r="H8" s="147"/>
      <c r="I8" s="64" t="n">
        <v>1250</v>
      </c>
      <c r="J8" s="147"/>
      <c r="K8" s="148" t="n">
        <v>4245</v>
      </c>
    </row>
    <row r="9" customFormat="false" ht="18.75" hidden="false" customHeight="true" outlineLevel="0" collapsed="false">
      <c r="A9" s="49"/>
      <c r="B9" s="69" t="s">
        <v>15</v>
      </c>
      <c r="C9" s="73" t="n">
        <v>650</v>
      </c>
      <c r="D9" s="73" t="n">
        <v>595</v>
      </c>
      <c r="E9" s="73" t="n">
        <v>780</v>
      </c>
      <c r="F9" s="73" t="n">
        <v>400</v>
      </c>
      <c r="G9" s="73" t="n">
        <v>1945</v>
      </c>
      <c r="H9" s="73" t="n">
        <v>405</v>
      </c>
      <c r="I9" s="145"/>
      <c r="J9" s="73" t="n">
        <v>2040</v>
      </c>
      <c r="K9" s="146" t="n">
        <v>6815</v>
      </c>
    </row>
    <row r="10" customFormat="false" ht="18.75" hidden="false" customHeight="true" outlineLevel="0" collapsed="false">
      <c r="A10" s="59"/>
      <c r="B10" s="60" t="s">
        <v>16</v>
      </c>
      <c r="C10" s="147"/>
      <c r="D10" s="147"/>
      <c r="E10" s="64" t="n">
        <v>840</v>
      </c>
      <c r="F10" s="64" t="n">
        <v>400</v>
      </c>
      <c r="G10" s="64" t="n">
        <v>315</v>
      </c>
      <c r="H10" s="147"/>
      <c r="I10" s="147"/>
      <c r="J10" s="147"/>
      <c r="K10" s="148" t="n">
        <v>1555</v>
      </c>
    </row>
    <row r="11" customFormat="false" ht="18.75" hidden="false" customHeight="true" outlineLevel="0" collapsed="false">
      <c r="A11" s="49"/>
      <c r="B11" s="69" t="s">
        <v>17</v>
      </c>
      <c r="C11" s="145"/>
      <c r="D11" s="145"/>
      <c r="E11" s="73" t="n">
        <v>840</v>
      </c>
      <c r="F11" s="73" t="n">
        <v>400</v>
      </c>
      <c r="G11" s="73" t="n">
        <v>315</v>
      </c>
      <c r="H11" s="145"/>
      <c r="I11" s="145"/>
      <c r="J11" s="145"/>
      <c r="K11" s="146" t="n">
        <v>1555</v>
      </c>
    </row>
    <row r="12" customFormat="false" ht="18.75" hidden="false" customHeight="true" outlineLevel="0" collapsed="false">
      <c r="A12" s="59"/>
      <c r="B12" s="60" t="s">
        <v>18</v>
      </c>
      <c r="C12" s="147"/>
      <c r="D12" s="147"/>
      <c r="E12" s="147"/>
      <c r="F12" s="147"/>
      <c r="G12" s="64" t="n">
        <v>125</v>
      </c>
      <c r="H12" s="147"/>
      <c r="I12" s="147"/>
      <c r="J12" s="147"/>
      <c r="K12" s="148" t="n">
        <v>125</v>
      </c>
    </row>
    <row r="13" customFormat="false" ht="18.75" hidden="false" customHeight="true" outlineLevel="0" collapsed="false">
      <c r="A13" s="49"/>
      <c r="B13" s="69" t="s">
        <v>19</v>
      </c>
      <c r="C13" s="145"/>
      <c r="D13" s="145"/>
      <c r="E13" s="145"/>
      <c r="F13" s="145"/>
      <c r="G13" s="73" t="n">
        <v>100</v>
      </c>
      <c r="H13" s="145"/>
      <c r="I13" s="145"/>
      <c r="J13" s="145"/>
      <c r="K13" s="146" t="n">
        <v>100</v>
      </c>
    </row>
    <row r="14" customFormat="false" ht="18.75" hidden="false" customHeight="true" outlineLevel="0" collapsed="false">
      <c r="A14" s="59"/>
      <c r="B14" s="60" t="s">
        <v>20</v>
      </c>
      <c r="C14" s="64" t="n">
        <v>2840</v>
      </c>
      <c r="D14" s="64" t="n">
        <v>1060</v>
      </c>
      <c r="E14" s="147"/>
      <c r="F14" s="147"/>
      <c r="G14" s="147"/>
      <c r="H14" s="64" t="n">
        <v>690</v>
      </c>
      <c r="I14" s="147"/>
      <c r="J14" s="147"/>
      <c r="K14" s="148" t="n">
        <v>4590</v>
      </c>
    </row>
    <row r="15" customFormat="false" ht="18.75" hidden="false" customHeight="true" outlineLevel="0" collapsed="false">
      <c r="A15" s="49"/>
      <c r="B15" s="69" t="s">
        <v>21</v>
      </c>
      <c r="C15" s="73" t="n">
        <v>2840</v>
      </c>
      <c r="D15" s="73" t="n">
        <v>1060</v>
      </c>
      <c r="E15" s="145"/>
      <c r="F15" s="145"/>
      <c r="G15" s="145"/>
      <c r="H15" s="73" t="n">
        <v>690</v>
      </c>
      <c r="I15" s="73" t="n">
        <v>3220</v>
      </c>
      <c r="J15" s="145"/>
      <c r="K15" s="146" t="n">
        <v>7810</v>
      </c>
    </row>
    <row r="16" customFormat="false" ht="18.75" hidden="false" customHeight="true" outlineLevel="0" collapsed="false">
      <c r="A16" s="59"/>
      <c r="B16" s="60" t="s">
        <v>22</v>
      </c>
      <c r="C16" s="64" t="n">
        <v>70</v>
      </c>
      <c r="D16" s="147"/>
      <c r="E16" s="147"/>
      <c r="F16" s="147"/>
      <c r="G16" s="147"/>
      <c r="H16" s="147"/>
      <c r="I16" s="147"/>
      <c r="J16" s="147"/>
      <c r="K16" s="148" t="n">
        <v>70</v>
      </c>
    </row>
    <row r="17" customFormat="false" ht="18.75" hidden="false" customHeight="true" outlineLevel="0" collapsed="false">
      <c r="A17" s="49"/>
      <c r="B17" s="69" t="s">
        <v>23</v>
      </c>
      <c r="C17" s="73" t="n">
        <v>70</v>
      </c>
      <c r="D17" s="145"/>
      <c r="E17" s="145"/>
      <c r="F17" s="145"/>
      <c r="G17" s="145"/>
      <c r="H17" s="145"/>
      <c r="I17" s="145"/>
      <c r="J17" s="145"/>
      <c r="K17" s="146" t="n">
        <v>70</v>
      </c>
    </row>
    <row r="18" customFormat="false" ht="18.75" hidden="false" customHeight="true" outlineLevel="0" collapsed="false">
      <c r="A18" s="59"/>
      <c r="B18" s="60" t="s">
        <v>24</v>
      </c>
      <c r="C18" s="64" t="n">
        <v>200</v>
      </c>
      <c r="D18" s="64" t="n">
        <v>1350</v>
      </c>
      <c r="E18" s="64" t="n">
        <v>300</v>
      </c>
      <c r="F18" s="147"/>
      <c r="G18" s="147"/>
      <c r="H18" s="147"/>
      <c r="I18" s="147"/>
      <c r="J18" s="147"/>
      <c r="K18" s="148" t="n">
        <v>1850</v>
      </c>
    </row>
    <row r="19" customFormat="false" ht="18.75" hidden="false" customHeight="true" outlineLevel="0" collapsed="false">
      <c r="A19" s="49"/>
      <c r="B19" s="69" t="s">
        <v>25</v>
      </c>
      <c r="C19" s="73" t="n">
        <v>200</v>
      </c>
      <c r="D19" s="73" t="n">
        <v>1350</v>
      </c>
      <c r="E19" s="73" t="n">
        <v>300</v>
      </c>
      <c r="F19" s="145"/>
      <c r="G19" s="145"/>
      <c r="H19" s="145"/>
      <c r="I19" s="145"/>
      <c r="J19" s="145"/>
      <c r="K19" s="146" t="n">
        <v>1850</v>
      </c>
    </row>
    <row r="20" customFormat="false" ht="18.75" hidden="false" customHeight="true" outlineLevel="0" collapsed="false">
      <c r="A20" s="59"/>
      <c r="B20" s="60" t="s">
        <v>26</v>
      </c>
      <c r="C20" s="64" t="n">
        <v>25</v>
      </c>
      <c r="D20" s="64" t="n">
        <v>2650</v>
      </c>
      <c r="E20" s="64" t="n">
        <v>445</v>
      </c>
      <c r="F20" s="64" t="n">
        <v>83</v>
      </c>
      <c r="G20" s="64" t="n">
        <v>450</v>
      </c>
      <c r="H20" s="147"/>
      <c r="I20" s="147"/>
      <c r="J20" s="147"/>
      <c r="K20" s="148" t="n">
        <v>3653</v>
      </c>
    </row>
    <row r="21" customFormat="false" ht="18.75" hidden="false" customHeight="true" outlineLevel="0" collapsed="false">
      <c r="A21" s="49"/>
      <c r="B21" s="69" t="s">
        <v>27</v>
      </c>
      <c r="C21" s="73" t="n">
        <v>25</v>
      </c>
      <c r="D21" s="73" t="n">
        <v>2650</v>
      </c>
      <c r="E21" s="73" t="n">
        <v>445</v>
      </c>
      <c r="F21" s="73" t="n">
        <v>50</v>
      </c>
      <c r="G21" s="73" t="n">
        <v>445</v>
      </c>
      <c r="H21" s="145"/>
      <c r="I21" s="145"/>
      <c r="J21" s="145"/>
      <c r="K21" s="146" t="n">
        <v>3615</v>
      </c>
    </row>
    <row r="22" customFormat="false" ht="18.75" hidden="false" customHeight="true" outlineLevel="0" collapsed="false">
      <c r="A22" s="59"/>
      <c r="B22" s="60" t="s">
        <v>28</v>
      </c>
      <c r="C22" s="147"/>
      <c r="D22" s="64" t="n">
        <v>40</v>
      </c>
      <c r="E22" s="147"/>
      <c r="F22" s="147"/>
      <c r="G22" s="147"/>
      <c r="H22" s="147"/>
      <c r="I22" s="147"/>
      <c r="J22" s="147"/>
      <c r="K22" s="148" t="n">
        <v>40</v>
      </c>
    </row>
    <row r="23" customFormat="false" ht="18.75" hidden="false" customHeight="true" outlineLevel="0" collapsed="false">
      <c r="A23" s="49"/>
      <c r="B23" s="69" t="s">
        <v>29</v>
      </c>
      <c r="C23" s="145"/>
      <c r="D23" s="145"/>
      <c r="E23" s="145"/>
      <c r="F23" s="145"/>
      <c r="G23" s="145"/>
      <c r="H23" s="145"/>
      <c r="I23" s="73" t="n">
        <v>3220</v>
      </c>
      <c r="J23" s="145"/>
      <c r="K23" s="146" t="n">
        <v>3220</v>
      </c>
    </row>
    <row r="24" customFormat="false" ht="18.75" hidden="false" customHeight="true" outlineLevel="0" collapsed="false">
      <c r="A24" s="59"/>
      <c r="B24" s="60" t="s">
        <v>30</v>
      </c>
      <c r="C24" s="64" t="n">
        <v>230</v>
      </c>
      <c r="D24" s="64" t="n">
        <v>40</v>
      </c>
      <c r="E24" s="64" t="n">
        <v>240</v>
      </c>
      <c r="F24" s="64" t="n">
        <v>425</v>
      </c>
      <c r="G24" s="64" t="n">
        <v>410</v>
      </c>
      <c r="H24" s="147"/>
      <c r="I24" s="64" t="n">
        <v>600</v>
      </c>
      <c r="J24" s="64" t="n">
        <v>1204</v>
      </c>
      <c r="K24" s="148" t="n">
        <v>3149</v>
      </c>
    </row>
    <row r="25" customFormat="false" ht="18.75" hidden="false" customHeight="true" outlineLevel="0" collapsed="false">
      <c r="A25" s="49"/>
      <c r="B25" s="69" t="s">
        <v>31</v>
      </c>
      <c r="C25" s="145"/>
      <c r="D25" s="145"/>
      <c r="E25" s="145"/>
      <c r="F25" s="145"/>
      <c r="G25" s="73" t="n">
        <v>25</v>
      </c>
      <c r="H25" s="145"/>
      <c r="I25" s="145"/>
      <c r="J25" s="145"/>
      <c r="K25" s="146" t="n">
        <v>25</v>
      </c>
    </row>
    <row r="26" customFormat="false" ht="18.75" hidden="false" customHeight="true" outlineLevel="0" collapsed="false">
      <c r="A26" s="59"/>
      <c r="B26" s="60" t="s">
        <v>32</v>
      </c>
      <c r="C26" s="147"/>
      <c r="D26" s="147"/>
      <c r="E26" s="147"/>
      <c r="F26" s="147"/>
      <c r="G26" s="147"/>
      <c r="H26" s="147"/>
      <c r="I26" s="147"/>
      <c r="J26" s="147"/>
      <c r="K26" s="148"/>
    </row>
    <row r="27" customFormat="false" ht="18.75" hidden="false" customHeight="true" outlineLevel="0" collapsed="false">
      <c r="A27" s="49"/>
      <c r="B27" s="69" t="s">
        <v>33</v>
      </c>
      <c r="C27" s="145"/>
      <c r="D27" s="145"/>
      <c r="E27" s="145"/>
      <c r="F27" s="145"/>
      <c r="G27" s="145"/>
      <c r="H27" s="145"/>
      <c r="I27" s="145"/>
      <c r="J27" s="145"/>
      <c r="K27" s="146"/>
    </row>
    <row r="28" customFormat="false" ht="18.75" hidden="false" customHeight="true" outlineLevel="0" collapsed="false">
      <c r="A28" s="59"/>
      <c r="B28" s="60" t="s">
        <v>34</v>
      </c>
      <c r="C28" s="147"/>
      <c r="D28" s="147"/>
      <c r="E28" s="147"/>
      <c r="F28" s="147"/>
      <c r="G28" s="147"/>
      <c r="H28" s="147"/>
      <c r="I28" s="147"/>
      <c r="J28" s="147"/>
      <c r="K28" s="148"/>
    </row>
    <row r="29" customFormat="false" ht="18.75" hidden="false" customHeight="true" outlineLevel="0" collapsed="false">
      <c r="A29" s="49"/>
      <c r="B29" s="69" t="s">
        <v>35</v>
      </c>
      <c r="C29" s="145"/>
      <c r="D29" s="73" t="n">
        <v>30</v>
      </c>
      <c r="E29" s="73" t="n">
        <v>140</v>
      </c>
      <c r="F29" s="145"/>
      <c r="G29" s="73" t="n">
        <v>5</v>
      </c>
      <c r="H29" s="73" t="n">
        <v>90</v>
      </c>
      <c r="I29" s="73" t="n">
        <v>15</v>
      </c>
      <c r="J29" s="145"/>
      <c r="K29" s="146" t="n">
        <v>280</v>
      </c>
    </row>
    <row r="30" customFormat="false" ht="18.75" hidden="false" customHeight="true" outlineLevel="0" collapsed="false">
      <c r="A30" s="59"/>
      <c r="B30" s="60" t="s">
        <v>36</v>
      </c>
      <c r="C30" s="147"/>
      <c r="D30" s="64" t="n">
        <v>30</v>
      </c>
      <c r="E30" s="64" t="n">
        <v>140</v>
      </c>
      <c r="F30" s="147"/>
      <c r="G30" s="64" t="n">
        <v>5</v>
      </c>
      <c r="H30" s="64" t="n">
        <v>90</v>
      </c>
      <c r="I30" s="64" t="n">
        <v>15</v>
      </c>
      <c r="J30" s="147"/>
      <c r="K30" s="148" t="n">
        <v>280</v>
      </c>
    </row>
    <row r="31" customFormat="false" ht="18.75" hidden="false" customHeight="true" outlineLevel="0" collapsed="false">
      <c r="A31" s="49"/>
      <c r="B31" s="69" t="s">
        <v>37</v>
      </c>
      <c r="C31" s="145"/>
      <c r="D31" s="73" t="n">
        <v>250</v>
      </c>
      <c r="E31" s="73" t="n">
        <v>330</v>
      </c>
      <c r="F31" s="145"/>
      <c r="G31" s="145"/>
      <c r="H31" s="73" t="n">
        <v>515</v>
      </c>
      <c r="I31" s="145"/>
      <c r="J31" s="73" t="n">
        <v>370</v>
      </c>
      <c r="K31" s="146" t="n">
        <v>1465</v>
      </c>
    </row>
    <row r="32" customFormat="false" ht="18.75" hidden="false" customHeight="true" outlineLevel="0" collapsed="false">
      <c r="A32" s="59"/>
      <c r="B32" s="60" t="s">
        <v>38</v>
      </c>
      <c r="C32" s="147"/>
      <c r="D32" s="147"/>
      <c r="E32" s="147"/>
      <c r="F32" s="64" t="n">
        <v>10</v>
      </c>
      <c r="G32" s="147"/>
      <c r="H32" s="64" t="n">
        <v>1000</v>
      </c>
      <c r="I32" s="147"/>
      <c r="J32" s="147"/>
      <c r="K32" s="148" t="n">
        <v>1010</v>
      </c>
    </row>
    <row r="33" customFormat="false" ht="18.75" hidden="false" customHeight="true" outlineLevel="0" collapsed="false">
      <c r="A33" s="49"/>
      <c r="B33" s="69" t="s">
        <v>39</v>
      </c>
      <c r="C33" s="145"/>
      <c r="D33" s="145"/>
      <c r="E33" s="145"/>
      <c r="F33" s="145"/>
      <c r="G33" s="145"/>
      <c r="H33" s="73" t="n">
        <v>1000</v>
      </c>
      <c r="I33" s="145"/>
      <c r="J33" s="145"/>
      <c r="K33" s="146" t="n">
        <v>1000</v>
      </c>
    </row>
    <row r="34" customFormat="false" ht="18.75" hidden="false" customHeight="true" outlineLevel="0" collapsed="false">
      <c r="A34" s="59"/>
      <c r="B34" s="60" t="s">
        <v>40</v>
      </c>
      <c r="C34" s="147"/>
      <c r="D34" s="147"/>
      <c r="E34" s="147"/>
      <c r="F34" s="64" t="n">
        <v>10</v>
      </c>
      <c r="G34" s="147"/>
      <c r="H34" s="147"/>
      <c r="I34" s="147"/>
      <c r="J34" s="147"/>
      <c r="K34" s="148" t="n">
        <v>10</v>
      </c>
    </row>
    <row r="35" customFormat="false" ht="18.75" hidden="false" customHeight="true" outlineLevel="0" collapsed="false">
      <c r="A35" s="49"/>
      <c r="B35" s="69" t="s">
        <v>41</v>
      </c>
      <c r="C35" s="145"/>
      <c r="D35" s="145"/>
      <c r="E35" s="145"/>
      <c r="F35" s="145"/>
      <c r="G35" s="145"/>
      <c r="H35" s="145"/>
      <c r="I35" s="145"/>
      <c r="J35" s="145"/>
      <c r="K35" s="146"/>
    </row>
    <row r="36" customFormat="false" ht="18.75" hidden="false" customHeight="true" outlineLevel="0" collapsed="false">
      <c r="A36" s="59"/>
      <c r="B36" s="60" t="s">
        <v>42</v>
      </c>
      <c r="C36" s="147"/>
      <c r="D36" s="147"/>
      <c r="E36" s="147"/>
      <c r="F36" s="64" t="n">
        <v>10</v>
      </c>
      <c r="G36" s="147"/>
      <c r="H36" s="147"/>
      <c r="I36" s="147"/>
      <c r="J36" s="147"/>
      <c r="K36" s="148" t="n">
        <v>10</v>
      </c>
    </row>
    <row r="37" customFormat="false" ht="18.75" hidden="false" customHeight="true" outlineLevel="0" collapsed="false">
      <c r="A37" s="49"/>
      <c r="B37" s="69" t="s">
        <v>43</v>
      </c>
      <c r="C37" s="145"/>
      <c r="D37" s="145"/>
      <c r="E37" s="145"/>
      <c r="F37" s="145"/>
      <c r="G37" s="145"/>
      <c r="H37" s="145"/>
      <c r="I37" s="145"/>
      <c r="J37" s="145"/>
      <c r="K37" s="146"/>
    </row>
    <row r="38" customFormat="false" ht="18.75" hidden="false" customHeight="true" outlineLevel="0" collapsed="false">
      <c r="A38" s="59"/>
      <c r="B38" s="60" t="s">
        <v>44</v>
      </c>
      <c r="C38" s="147"/>
      <c r="D38" s="147"/>
      <c r="E38" s="147"/>
      <c r="F38" s="64" t="n">
        <v>10</v>
      </c>
      <c r="G38" s="147"/>
      <c r="H38" s="147"/>
      <c r="I38" s="147"/>
      <c r="J38" s="147"/>
      <c r="K38" s="148" t="n">
        <v>10</v>
      </c>
    </row>
    <row r="39" customFormat="false" ht="18.75" hidden="false" customHeight="true" outlineLevel="0" collapsed="false">
      <c r="A39" s="49"/>
      <c r="B39" s="69" t="s">
        <v>45</v>
      </c>
      <c r="C39" s="145"/>
      <c r="D39" s="145"/>
      <c r="E39" s="145"/>
      <c r="F39" s="145"/>
      <c r="G39" s="145"/>
      <c r="H39" s="145"/>
      <c r="I39" s="145"/>
      <c r="J39" s="145"/>
      <c r="K39" s="146"/>
    </row>
    <row r="40" customFormat="false" ht="18.75" hidden="false" customHeight="true" outlineLevel="0" collapsed="false">
      <c r="A40" s="59"/>
      <c r="B40" s="60" t="s">
        <v>46</v>
      </c>
      <c r="C40" s="147"/>
      <c r="D40" s="147"/>
      <c r="E40" s="147"/>
      <c r="F40" s="147"/>
      <c r="G40" s="147"/>
      <c r="H40" s="147"/>
      <c r="I40" s="64" t="n">
        <v>550</v>
      </c>
      <c r="J40" s="64" t="n">
        <v>50</v>
      </c>
      <c r="K40" s="148" t="n">
        <v>600</v>
      </c>
    </row>
    <row r="41" customFormat="false" ht="18.75" hidden="false" customHeight="true" outlineLevel="0" collapsed="false">
      <c r="A41" s="49"/>
      <c r="B41" s="69" t="s">
        <v>47</v>
      </c>
      <c r="C41" s="145"/>
      <c r="D41" s="145"/>
      <c r="E41" s="145"/>
      <c r="F41" s="145"/>
      <c r="G41" s="145"/>
      <c r="H41" s="145"/>
      <c r="I41" s="73" t="n">
        <v>550</v>
      </c>
      <c r="J41" s="73" t="n">
        <v>50</v>
      </c>
      <c r="K41" s="146" t="n">
        <v>600</v>
      </c>
    </row>
    <row r="42" customFormat="false" ht="18.75" hidden="false" customHeight="true" outlineLevel="0" collapsed="false">
      <c r="A42" s="59"/>
      <c r="B42" s="60" t="s">
        <v>48</v>
      </c>
      <c r="C42" s="147"/>
      <c r="D42" s="147"/>
      <c r="E42" s="147"/>
      <c r="F42" s="64" t="n">
        <v>10</v>
      </c>
      <c r="G42" s="147"/>
      <c r="H42" s="147"/>
      <c r="I42" s="147"/>
      <c r="J42" s="147"/>
      <c r="K42" s="148" t="n">
        <v>10</v>
      </c>
    </row>
    <row r="43" customFormat="false" ht="18.75" hidden="false" customHeight="true" outlineLevel="0" collapsed="false">
      <c r="A43" s="49"/>
      <c r="B43" s="69" t="s">
        <v>49</v>
      </c>
      <c r="C43" s="145"/>
      <c r="D43" s="145"/>
      <c r="E43" s="145"/>
      <c r="F43" s="145"/>
      <c r="G43" s="145"/>
      <c r="H43" s="145"/>
      <c r="I43" s="145"/>
      <c r="J43" s="145"/>
      <c r="K43" s="146"/>
    </row>
    <row r="44" customFormat="false" ht="18.75" hidden="false" customHeight="true" outlineLevel="0" collapsed="false">
      <c r="A44" s="59"/>
      <c r="B44" s="60" t="s">
        <v>50</v>
      </c>
      <c r="C44" s="147"/>
      <c r="D44" s="147"/>
      <c r="E44" s="147"/>
      <c r="F44" s="64" t="n">
        <v>10</v>
      </c>
      <c r="G44" s="147"/>
      <c r="H44" s="147"/>
      <c r="I44" s="147"/>
      <c r="J44" s="147"/>
      <c r="K44" s="148" t="n">
        <v>10</v>
      </c>
    </row>
    <row r="45" customFormat="false" ht="18.75" hidden="false" customHeight="true" outlineLevel="0" collapsed="false">
      <c r="A45" s="49"/>
      <c r="B45" s="69" t="s">
        <v>51</v>
      </c>
      <c r="C45" s="145"/>
      <c r="D45" s="145"/>
      <c r="E45" s="145"/>
      <c r="F45" s="145"/>
      <c r="G45" s="145"/>
      <c r="H45" s="145"/>
      <c r="I45" s="145"/>
      <c r="J45" s="145"/>
      <c r="K45" s="146"/>
    </row>
    <row r="46" customFormat="false" ht="18.75" hidden="false" customHeight="true" outlineLevel="0" collapsed="false">
      <c r="A46" s="59"/>
      <c r="B46" s="60" t="s">
        <v>52</v>
      </c>
      <c r="C46" s="147"/>
      <c r="D46" s="147"/>
      <c r="E46" s="147"/>
      <c r="F46" s="147"/>
      <c r="G46" s="147"/>
      <c r="H46" s="147"/>
      <c r="I46" s="147"/>
      <c r="J46" s="147"/>
      <c r="K46" s="148"/>
    </row>
    <row r="47" customFormat="false" ht="18.75" hidden="false" customHeight="true" outlineLevel="0" collapsed="false">
      <c r="A47" s="49"/>
      <c r="B47" s="69" t="s">
        <v>53</v>
      </c>
      <c r="C47" s="145"/>
      <c r="D47" s="145"/>
      <c r="E47" s="145"/>
      <c r="F47" s="145"/>
      <c r="G47" s="145"/>
      <c r="H47" s="145"/>
      <c r="I47" s="145"/>
      <c r="J47" s="145"/>
      <c r="K47" s="146"/>
    </row>
    <row r="48" customFormat="false" ht="18.75" hidden="false" customHeight="true" outlineLevel="0" collapsed="false">
      <c r="A48" s="59"/>
      <c r="B48" s="60" t="s">
        <v>54</v>
      </c>
      <c r="C48" s="64" t="n">
        <v>60</v>
      </c>
      <c r="D48" s="64" t="n">
        <v>295</v>
      </c>
      <c r="E48" s="64" t="n">
        <v>150</v>
      </c>
      <c r="F48" s="147"/>
      <c r="G48" s="147"/>
      <c r="H48" s="147"/>
      <c r="I48" s="147"/>
      <c r="J48" s="147"/>
      <c r="K48" s="148" t="n">
        <v>505</v>
      </c>
    </row>
    <row r="49" customFormat="false" ht="18.75" hidden="false" customHeight="true" outlineLevel="0" collapsed="false">
      <c r="A49" s="49"/>
      <c r="B49" s="69" t="s">
        <v>55</v>
      </c>
      <c r="C49" s="73" t="n">
        <v>60</v>
      </c>
      <c r="D49" s="73" t="n">
        <v>95</v>
      </c>
      <c r="E49" s="73" t="n">
        <v>150</v>
      </c>
      <c r="F49" s="145"/>
      <c r="G49" s="145"/>
      <c r="H49" s="145"/>
      <c r="I49" s="145"/>
      <c r="J49" s="145"/>
      <c r="K49" s="146" t="n">
        <v>305</v>
      </c>
    </row>
    <row r="50" customFormat="false" ht="18.75" hidden="false" customHeight="true" outlineLevel="0" collapsed="false">
      <c r="A50" s="59"/>
      <c r="B50" s="60" t="s">
        <v>56</v>
      </c>
      <c r="C50" s="147"/>
      <c r="D50" s="64" t="n">
        <v>200</v>
      </c>
      <c r="E50" s="147"/>
      <c r="F50" s="147"/>
      <c r="G50" s="147"/>
      <c r="H50" s="147"/>
      <c r="I50" s="147"/>
      <c r="J50" s="147"/>
      <c r="K50" s="148" t="n">
        <v>200</v>
      </c>
    </row>
    <row r="51" customFormat="false" ht="18.75" hidden="false" customHeight="true" outlineLevel="0" collapsed="false">
      <c r="A51" s="49"/>
      <c r="B51" s="69" t="s">
        <v>57</v>
      </c>
      <c r="C51" s="145"/>
      <c r="D51" s="145"/>
      <c r="E51" s="145"/>
      <c r="F51" s="145"/>
      <c r="G51" s="145"/>
      <c r="H51" s="145"/>
      <c r="I51" s="145"/>
      <c r="J51" s="145"/>
      <c r="K51" s="146"/>
    </row>
    <row r="52" customFormat="false" ht="18.75" hidden="false" customHeight="true" outlineLevel="0" collapsed="false">
      <c r="A52" s="59"/>
      <c r="B52" s="60" t="s">
        <v>58</v>
      </c>
      <c r="C52" s="64" t="n">
        <v>225</v>
      </c>
      <c r="D52" s="64" t="n">
        <v>4040</v>
      </c>
      <c r="E52" s="64" t="n">
        <v>745</v>
      </c>
      <c r="F52" s="64" t="n">
        <v>83</v>
      </c>
      <c r="G52" s="64" t="n">
        <v>450</v>
      </c>
      <c r="H52" s="147"/>
      <c r="I52" s="147"/>
      <c r="J52" s="147"/>
      <c r="K52" s="148" t="n">
        <v>5543</v>
      </c>
    </row>
    <row r="53" customFormat="false" ht="18.75" hidden="false" customHeight="true" outlineLevel="0" collapsed="false">
      <c r="A53" s="49"/>
      <c r="B53" s="69" t="s">
        <v>59</v>
      </c>
      <c r="C53" s="145"/>
      <c r="D53" s="73" t="n">
        <v>40</v>
      </c>
      <c r="E53" s="145"/>
      <c r="F53" s="145"/>
      <c r="G53" s="145"/>
      <c r="H53" s="145"/>
      <c r="I53" s="145"/>
      <c r="J53" s="145"/>
      <c r="K53" s="146" t="n">
        <v>40</v>
      </c>
    </row>
    <row r="54" customFormat="false" ht="18.75" hidden="false" customHeight="true" outlineLevel="0" collapsed="false">
      <c r="A54" s="59"/>
      <c r="B54" s="60" t="s">
        <v>60</v>
      </c>
      <c r="C54" s="147"/>
      <c r="D54" s="147"/>
      <c r="E54" s="64" t="n">
        <v>90</v>
      </c>
      <c r="F54" s="147"/>
      <c r="G54" s="147"/>
      <c r="H54" s="147"/>
      <c r="I54" s="147"/>
      <c r="J54" s="147"/>
      <c r="K54" s="148" t="n">
        <v>90</v>
      </c>
    </row>
    <row r="55" customFormat="false" ht="18.75" hidden="false" customHeight="true" outlineLevel="0" collapsed="false">
      <c r="A55" s="49"/>
      <c r="B55" s="69" t="s">
        <v>61</v>
      </c>
      <c r="C55" s="73" t="n">
        <v>435</v>
      </c>
      <c r="D55" s="145"/>
      <c r="E55" s="73" t="n">
        <v>500</v>
      </c>
      <c r="F55" s="73" t="n">
        <v>520</v>
      </c>
      <c r="G55" s="145"/>
      <c r="H55" s="145"/>
      <c r="I55" s="145"/>
      <c r="J55" s="73" t="n">
        <v>300</v>
      </c>
      <c r="K55" s="146" t="n">
        <v>1755</v>
      </c>
    </row>
    <row r="56" customFormat="false" ht="18.75" hidden="false" customHeight="true" outlineLevel="0" collapsed="false">
      <c r="A56" s="59"/>
      <c r="B56" s="60" t="s">
        <v>62</v>
      </c>
      <c r="C56" s="147"/>
      <c r="D56" s="147"/>
      <c r="E56" s="147"/>
      <c r="F56" s="64" t="n">
        <v>33</v>
      </c>
      <c r="G56" s="64" t="n">
        <v>5</v>
      </c>
      <c r="H56" s="147"/>
      <c r="I56" s="147"/>
      <c r="J56" s="147"/>
      <c r="K56" s="148" t="n">
        <v>38</v>
      </c>
    </row>
    <row r="57" customFormat="false" ht="18.75" hidden="false" customHeight="true" outlineLevel="0" collapsed="false">
      <c r="A57" s="49"/>
      <c r="B57" s="69" t="s">
        <v>63</v>
      </c>
      <c r="C57" s="145"/>
      <c r="D57" s="145"/>
      <c r="E57" s="145"/>
      <c r="F57" s="73" t="n">
        <v>33</v>
      </c>
      <c r="G57" s="73" t="n">
        <v>5</v>
      </c>
      <c r="H57" s="145"/>
      <c r="I57" s="145"/>
      <c r="J57" s="145"/>
      <c r="K57" s="146" t="n">
        <v>38</v>
      </c>
    </row>
    <row r="58" customFormat="false" ht="18.75" hidden="false" customHeight="true" outlineLevel="0" collapsed="false">
      <c r="A58" s="59"/>
      <c r="B58" s="60" t="s">
        <v>64</v>
      </c>
      <c r="C58" s="147"/>
      <c r="D58" s="147"/>
      <c r="E58" s="147"/>
      <c r="F58" s="147"/>
      <c r="G58" s="147"/>
      <c r="H58" s="147"/>
      <c r="I58" s="147"/>
      <c r="J58" s="147"/>
      <c r="K58" s="148"/>
    </row>
    <row r="59" customFormat="false" ht="18.75" hidden="false" customHeight="true" outlineLevel="0" collapsed="false">
      <c r="A59" s="49"/>
      <c r="B59" s="69" t="s">
        <v>65</v>
      </c>
      <c r="C59" s="145"/>
      <c r="D59" s="145"/>
      <c r="E59" s="145"/>
      <c r="F59" s="73" t="n">
        <v>10</v>
      </c>
      <c r="G59" s="145"/>
      <c r="H59" s="145"/>
      <c r="I59" s="145"/>
      <c r="J59" s="145"/>
      <c r="K59" s="146" t="n">
        <v>10</v>
      </c>
    </row>
    <row r="60" customFormat="false" ht="21.75" hidden="false" customHeight="true" outlineLevel="0" collapsed="false">
      <c r="B60" s="149" t="s">
        <v>111</v>
      </c>
      <c r="C60" s="150" t="n">
        <f aca="false">SUM(C5:C59)</f>
        <v>16864</v>
      </c>
      <c r="D60" s="150" t="n">
        <f aca="false">SUM(D5:D59)</f>
        <v>25615</v>
      </c>
      <c r="E60" s="150" t="n">
        <f aca="false">SUM(E5:E59)</f>
        <v>22895</v>
      </c>
      <c r="F60" s="150" t="n">
        <f aca="false">SUM(F5:F59)</f>
        <v>11607</v>
      </c>
      <c r="G60" s="150" t="n">
        <f aca="false">SUM(G5:G59)</f>
        <v>15176</v>
      </c>
      <c r="H60" s="150" t="n">
        <f aca="false">SUM(H5:H59)</f>
        <v>6784</v>
      </c>
      <c r="I60" s="150" t="n">
        <f aca="false">SUM(I5:I59)</f>
        <v>10670</v>
      </c>
      <c r="J60" s="150" t="n">
        <f aca="false">SUM(J5:J59)</f>
        <v>14838</v>
      </c>
      <c r="K60" s="150" t="n">
        <f aca="false">SUM(K5:K59)</f>
        <v>124449</v>
      </c>
    </row>
  </sheetData>
  <mergeCells count="2">
    <mergeCell ref="B1:K1"/>
    <mergeCell ref="B2:K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2026-04-29T07:43:22Z</dcterms:created>
  <dc:creator>openpyxl</dc:creator>
  <dc:description/>
  <dc:language>en-US</dc:language>
  <cp:lastModifiedBy/>
  <dcterms:modified xsi:type="dcterms:W3CDTF">2026-04-29T07:43:22Z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